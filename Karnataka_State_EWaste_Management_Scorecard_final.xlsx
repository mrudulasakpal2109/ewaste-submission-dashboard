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Mrudula\Documents\"/>
    </mc:Choice>
  </mc:AlternateContent>
  <xr:revisionPtr revIDLastSave="0" documentId="13_ncr:1_{3C456DF4-86F9-4823-B501-C1C3895C81A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_Scorecard" sheetId="1" r:id="rId1"/>
    <sheet name="1_Generation_Inventory" sheetId="2" r:id="rId2"/>
    <sheet name="2_Collection_Log" sheetId="3" r:id="rId3"/>
    <sheet name="3_Recycling_Infrastructure" sheetId="4" r:id="rId4"/>
    <sheet name="4_Compliance_Tracker" sheetId="5" r:id="rId5"/>
    <sheet name="5_Informal_Sector_Hotspots" sheetId="6" r:id="rId6"/>
    <sheet name="6_Env_Health_Monitoring" sheetId="7" r:id="rId7"/>
    <sheet name="7_Awareness_Programs" sheetId="8" r:id="rId8"/>
    <sheet name="Methodology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" l="1"/>
  <c r="B17" i="8"/>
  <c r="B16" i="8"/>
  <c r="B15" i="8"/>
  <c r="B17" i="7"/>
  <c r="B16" i="7"/>
  <c r="B15" i="7"/>
  <c r="B18" i="6"/>
  <c r="B17" i="6"/>
  <c r="B16" i="6"/>
  <c r="B15" i="6"/>
  <c r="B27" i="5"/>
  <c r="B26" i="5"/>
  <c r="B25" i="5"/>
  <c r="B24" i="5"/>
  <c r="B23" i="5"/>
  <c r="B22" i="5"/>
  <c r="E30" i="4"/>
  <c r="D30" i="4"/>
  <c r="C30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30" i="4" s="1"/>
  <c r="B6" i="4"/>
  <c r="B5" i="4"/>
  <c r="F30" i="3"/>
  <c r="E30" i="3"/>
  <c r="D30" i="3"/>
  <c r="C30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30" i="3" s="1"/>
  <c r="B10" i="3"/>
  <c r="B9" i="3"/>
  <c r="B8" i="3"/>
  <c r="B7" i="3"/>
  <c r="B6" i="3"/>
  <c r="B5" i="3"/>
  <c r="I30" i="2"/>
  <c r="H30" i="2"/>
  <c r="G30" i="2"/>
  <c r="F30" i="2"/>
  <c r="E30" i="2"/>
  <c r="D30" i="2"/>
  <c r="C30" i="2"/>
  <c r="B30" i="2"/>
  <c r="D4" i="1" l="1"/>
</calcChain>
</file>

<file path=xl/sharedStrings.xml><?xml version="1.0" encoding="utf-8"?>
<sst xmlns="http://schemas.openxmlformats.org/spreadsheetml/2006/main" count="534" uniqueCount="269">
  <si>
    <t>Karnataka 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</si>
  <si>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</si>
  <si>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</si>
  <si>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</si>
  <si>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</si>
  <si>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</si>
  <si>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</si>
  <si>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</si>
  <si>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</si>
  <si>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</si>
  <si>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</si>
  <si>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</si>
  <si>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</si>
  <si>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</si>
  <si>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</si>
  <si>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</si>
  <si>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</si>
  <si>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</si>
  <si>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</si>
  <si>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</si>
  <si>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</si>
  <si>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</si>
  <si>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</si>
  <si>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</si>
  <si>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</si>
  <si>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</si>
  <si>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</si>
  <si>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Punjab State E-Waste Generation &amp; Inventory</t>
  </si>
  <si>
    <t>One row per district. Category-wise breakup based on E-Waste (Management) Rules, 2022, Schedule I (simplified). Figures are illustrative estimates (population x assumed 1.05 kg/capita/yr) - replace with verified PPCB / district data.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</si>
  <si>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</si>
  <si>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</si>
  <si>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</si>
  <si>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</si>
  <si>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</si>
  <si>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</si>
  <si>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</si>
  <si>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</si>
  <si>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</si>
  <si>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</si>
  <si>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Ludhiana</t>
  </si>
  <si>
    <t>31-03-2026</t>
  </si>
  <si>
    <t>Amritsar</t>
  </si>
  <si>
    <t>Gurdaspur</t>
  </si>
  <si>
    <t>Jalandhar</t>
  </si>
  <si>
    <t>Patiala</t>
  </si>
  <si>
    <t>Bathinda</t>
  </si>
  <si>
    <t>Hoshiarpur</t>
  </si>
  <si>
    <t>Moga</t>
  </si>
  <si>
    <t>Ferozepur</t>
  </si>
  <si>
    <t>Fazilka</t>
  </si>
  <si>
    <t>Sangrur</t>
  </si>
  <si>
    <t>Malerkotla</t>
  </si>
  <si>
    <t>Kapurthala</t>
  </si>
  <si>
    <t>Mansa</t>
  </si>
  <si>
    <t>Faridkot</t>
  </si>
  <si>
    <t>Fatehgarh Sahib</t>
  </si>
  <si>
    <t>Rupnagar</t>
  </si>
  <si>
    <t>S.A.S Nagar (Mohali)</t>
  </si>
  <si>
    <t>Sri Muktsar Sahib</t>
  </si>
  <si>
    <t>Tarn Taran</t>
  </si>
  <si>
    <t>Barnala</t>
  </si>
  <si>
    <t>Shaheed Bhagat Singh Nagar</t>
  </si>
  <si>
    <t>Pathankot</t>
  </si>
  <si>
    <t>STATE TOTAL</t>
  </si>
  <si>
    <t>Collection Log</t>
  </si>
  <si>
    <t>One row per district. 'Generated' auto-pulls from Sheet 1 by row position - keep district order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</si>
  <si>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</si>
  <si>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</si>
  <si>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</si>
  <si>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</si>
  <si>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</si>
  <si>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</si>
  <si>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Collected via municipal / RWA collection drives, e-waste collection centres and authorised EPR collection points</t>
  </si>
  <si>
    <t>Formal Recycling &amp; Treatment Infrastructure</t>
  </si>
  <si>
    <t>One row per district. 'Collected' auto-pulls from Sheet 2 by row position.</t>
  </si>
  <si>
    <t>Collected (kg) [from Sheet 2]</t>
  </si>
  <si>
    <t>Processed by Authorized Recyclers (kg)</t>
  </si>
  <si>
    <t>Installed Recycling Capacity (kg/year)</t>
  </si>
  <si>
    <t>Material Recovered (kg)</t>
  </si>
  <si>
    <t>Processed through CPCB-authorized dismantlers/recyclers registered under EPR portal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</si>
  <si>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</si>
  <si>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</si>
  <si>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</si>
  <si>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</si>
  <si>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</si>
  <si>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</si>
  <si>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</si>
  <si>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</si>
  <si>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</si>
  <si>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Registered Producer / EPR Entity 1</t>
  </si>
  <si>
    <t>EPR/2024/PB/001</t>
  </si>
  <si>
    <t>Compliant</t>
  </si>
  <si>
    <t>Yes</t>
  </si>
  <si>
    <t>No</t>
  </si>
  <si>
    <t>N/A</t>
  </si>
  <si>
    <t>Annual EPR recycling target met</t>
  </si>
  <si>
    <t>Registered Producer / EPR Entity 2</t>
  </si>
  <si>
    <t>EPR/2024/PB/002</t>
  </si>
  <si>
    <t>Target met via authorised recycler tie-up</t>
  </si>
  <si>
    <t>Registered Producer / EPR Entity 3</t>
  </si>
  <si>
    <t>EPR/2024/PB/003</t>
  </si>
  <si>
    <t>Partially Compliant</t>
  </si>
  <si>
    <t>EPR target under-achieved; show-cause issued</t>
  </si>
  <si>
    <t>Registered Producer / EPR Entity 4</t>
  </si>
  <si>
    <t>EPR/2024/PB/004</t>
  </si>
  <si>
    <t>Target met</t>
  </si>
  <si>
    <t>Registered Producer / EPR Entity 5</t>
  </si>
  <si>
    <t>EPR/2024/PB/005</t>
  </si>
  <si>
    <t>Non-Compliant</t>
  </si>
  <si>
    <t>Penalty proceedings ongoing</t>
  </si>
  <si>
    <t>Registered Producer / EPR Entity 6</t>
  </si>
  <si>
    <t>EPR/2024/PB/006</t>
  </si>
  <si>
    <t>Inspection pending, self-reported compliant</t>
  </si>
  <si>
    <t>Registered Producer / EPR Entity 7</t>
  </si>
  <si>
    <t>EPR/2024/PB/007</t>
  </si>
  <si>
    <t>Registered Producer / EPR Entity 8</t>
  </si>
  <si>
    <t>EPR/2024/PB/008</t>
  </si>
  <si>
    <t>Registration lapsed; show-cause issued</t>
  </si>
  <si>
    <t>Registered Producer / EPR Entity 9</t>
  </si>
  <si>
    <t>EPR/2024/PB/009</t>
  </si>
  <si>
    <t>Not yet inspected this cycle</t>
  </si>
  <si>
    <t>Registered Producer / EPR Entity 10</t>
  </si>
  <si>
    <t>EPR/2024/PB/010</t>
  </si>
  <si>
    <t>Registered Producer / EPR Entity 11</t>
  </si>
  <si>
    <t>EPR/2024/PB/011</t>
  </si>
  <si>
    <t>Partial EPR target achievement</t>
  </si>
  <si>
    <t>Registered Producer / EPR Entity 12</t>
  </si>
  <si>
    <t>EPR/2024/PB/012</t>
  </si>
  <si>
    <t>Target met via dismantler tie-up</t>
  </si>
  <si>
    <t>Registered Producer / EPR Entity 13</t>
  </si>
  <si>
    <t>EPR/2024/PB/013</t>
  </si>
  <si>
    <t>Registered Producer / EPR Entity 14</t>
  </si>
  <si>
    <t>EPR/2024/PB/014</t>
  </si>
  <si>
    <t>Failed to submit annual EPR return</t>
  </si>
  <si>
    <t>Registered Producer / EPR Entity 15</t>
  </si>
  <si>
    <t>EPR/2024/PB/015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</si>
  <si>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</si>
  <si>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</si>
  <si>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</si>
  <si>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</si>
  <si>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</si>
  <si>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</si>
  <si>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</si>
  <si>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</si>
  <si>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</si>
  <si>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</si>
  <si>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</si>
  <si>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</si>
  <si>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Informal E-Waste Cluster - Site 1</t>
  </si>
  <si>
    <t>Partially Formalized</t>
  </si>
  <si>
    <t>Registered as collection point; workers trained under skill program</t>
  </si>
  <si>
    <t>Remediation ongoing</t>
  </si>
  <si>
    <t>Informal E-Waste Cluster - Site 2</t>
  </si>
  <si>
    <t>Not Formalized</t>
  </si>
  <si>
    <t>Initial survey conducted</t>
  </si>
  <si>
    <t>Formalization action pending</t>
  </si>
  <si>
    <t>Informal E-Waste Cluster - Site 3</t>
  </si>
  <si>
    <t>Awareness + registration drive conducted</t>
  </si>
  <si>
    <t>Monitoring ongoing</t>
  </si>
  <si>
    <t>Informal E-Waste Cluster - Site 4</t>
  </si>
  <si>
    <t>Site identified, action plan pending</t>
  </si>
  <si>
    <t>Not yet started</t>
  </si>
  <si>
    <t>Informal E-Waste Cluster - Site 5</t>
  </si>
  <si>
    <t>Preliminary outreach conducted</t>
  </si>
  <si>
    <t>Informal E-Waste Cluster - Site 6</t>
  </si>
  <si>
    <t>Skill training conducted for scrap workers</t>
  </si>
  <si>
    <t>Informal E-Waste Cluster - Site 7</t>
  </si>
  <si>
    <t>Formalized</t>
  </si>
  <si>
    <t>Fully integrated into authorised collection network</t>
  </si>
  <si>
    <t>Completed</t>
  </si>
  <si>
    <t>Informal E-Waste Cluster - Site 8</t>
  </si>
  <si>
    <t>Site mapping in progress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</si>
  <si>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</si>
  <si>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</si>
  <si>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</si>
  <si>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</si>
  <si>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</si>
  <si>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</si>
  <si>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</si>
  <si>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</si>
  <si>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</si>
  <si>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</si>
  <si>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</si>
  <si>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</si>
  <si>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Soil + Water</t>
  </si>
  <si>
    <t>10-05-2026</t>
  </si>
  <si>
    <t>Exceeds Limit (Pb, Cd)</t>
  </si>
  <si>
    <t>Follow-up remediation plan submitted to PPCB</t>
  </si>
  <si>
    <t>Soil</t>
  </si>
  <si>
    <t>14-05-2026</t>
  </si>
  <si>
    <t>Exceeds Limit (Pb)</t>
  </si>
  <si>
    <t>Health camp scheduled next quarter</t>
  </si>
  <si>
    <t>Water</t>
  </si>
  <si>
    <t>18-05-2026</t>
  </si>
  <si>
    <t>Within Limit</t>
  </si>
  <si>
    <t>Routine monitoring, no major concern</t>
  </si>
  <si>
    <t>22-05-2026</t>
  </si>
  <si>
    <t>Exceeds Limit (Hg)</t>
  </si>
  <si>
    <t>Site not yet formalized; camp pending</t>
  </si>
  <si>
    <t>Air + Soil</t>
  </si>
  <si>
    <t>27-05-2026</t>
  </si>
  <si>
    <t>Exceeds Limit (particulate matter)</t>
  </si>
  <si>
    <t>Follow-up remediation planned</t>
  </si>
  <si>
    <t>01-06-2026</t>
  </si>
  <si>
    <t>05-06-2026</t>
  </si>
  <si>
    <t>Site fully formalized, monitoring for compliance</t>
  </si>
  <si>
    <t>10-06-2026</t>
  </si>
  <si>
    <t>Exceeds Limit (Cd)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</si>
  <si>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</si>
  <si>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</si>
  <si>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</si>
  <si>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</si>
  <si>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</si>
  <si>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</si>
  <si>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</si>
  <si>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</si>
  <si>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</si>
  <si>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Statewide E-Waste Buyback Campaign</t>
  </si>
  <si>
    <t>Statewide (launched Ludhiana)</t>
  </si>
  <si>
    <t>15-07-2025</t>
  </si>
  <si>
    <t>Household E-Waste Buyback / Collection Drive</t>
  </si>
  <si>
    <t>General public / households (statewide)</t>
  </si>
  <si>
    <t>E-Waste Awareness Drive - Schools</t>
  </si>
  <si>
    <t>18-04-2026</t>
  </si>
  <si>
    <t>School Collection Drive</t>
  </si>
  <si>
    <t>Students, Grades 6-10</t>
  </si>
  <si>
    <t>Community E-Waste Collection Drive</t>
  </si>
  <si>
    <t>22-04-2026</t>
  </si>
  <si>
    <t>RWA/Community Drive</t>
  </si>
  <si>
    <t>Residents' Welfare Associations</t>
  </si>
  <si>
    <t>Digital Punjab Week E-Waste Awareness</t>
  </si>
  <si>
    <t>05-05-2026</t>
  </si>
  <si>
    <t>Public Awareness Campaign</t>
  </si>
  <si>
    <t>General public</t>
  </si>
  <si>
    <t>College Campus E-Waste Collection</t>
  </si>
  <si>
    <t>12-05-2026</t>
  </si>
  <si>
    <t>College students</t>
  </si>
  <si>
    <t>Kisan Mela E-Waste Awareness Stall</t>
  </si>
  <si>
    <t>20-05-2026</t>
  </si>
  <si>
    <t>Farmers / rural households</t>
  </si>
  <si>
    <t>Industrial Cluster EPR Sensitization</t>
  </si>
  <si>
    <t>Mohali</t>
  </si>
  <si>
    <t>02-06-2026</t>
  </si>
  <si>
    <t>Producer/EPR Sensitization</t>
  </si>
  <si>
    <t>IT &amp; electronics manufacturers</t>
  </si>
  <si>
    <t>Border Belt E-Waste Collection Drive</t>
  </si>
  <si>
    <t>14-06-2026</t>
  </si>
  <si>
    <t>General public / households</t>
  </si>
  <si>
    <t>Total Programs Conducted</t>
  </si>
  <si>
    <t>Collection Drives (School+RWA)</t>
  </si>
  <si>
    <t>Total Participants Reached</t>
  </si>
  <si>
    <t>Punjab 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</si>
  <si>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</si>
  <si>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</si>
  <si>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 (all 23 districts updated) -&gt; '1_Generation_Inventory'</t>
  </si>
  <si>
    <t>Collection rate (% of generated e-waste collected) -&gt; '2_Collection_Log'</t>
  </si>
  <si>
    <t>% of generated e-waste processed by CPCB-authorized recyclers -&gt; '3_Recycling_Infrastructure'</t>
  </si>
  <si>
    <t>% of registered producers/EPR entities fully compliant -&gt; '4_Compliance_Tracker'</t>
  </si>
  <si>
    <t>% of estimated informal workers registered/trained -&gt; '5_Informal_Sector_Hotspots'</t>
  </si>
  <si>
    <t>% of monitored hotspots where a health screening camp was conducted -&gt; '6_Env_Health_Monitoring'</t>
  </si>
  <si>
    <t>Awareness campaigns / collection drives conducted vs target -&gt; '7_Awareness_Programs'</t>
  </si>
  <si>
    <t>TOTAL</t>
  </si>
  <si>
    <t>How to use this workbook</t>
  </si>
  <si>
    <t>- Enter data in the 7 numbered sheets (yellow cells = your input / key input fields). Each sheet's rows can be edited, added to, or replaced with verified district/producer data.</t>
  </si>
  <si>
    <t>- Set your benchmarks/targets on the '0_Scorecard' sheet (yellow cells) - e.g. collection rate target, recycling target, EPR compliance target, awareness campaign target.</t>
  </si>
  <si>
    <t>- The '0_Scorecard' sheet pulls live figures from all 7 sheets and computes the state's score out of 100 automatically. Do not overwrite formula cells (black text).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</si>
  <si>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</si>
  <si>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</si>
  <si>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- All figures in this workbook are ILLUSTRATIVE placeholders generated for template/demonstration purposes (population-based estimates and sample entries). Replace with verified data from the Punjab Pollution Control Board (PPCB), CPCB EPR portal, and district reports before using for actual policy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</si>
</sst>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>
    <font>
      <sz val="11"/>
      <color theme="1"/>
      <name val="Calibri"/>
      <family val="2"/>
      <charset val="1"/>
    </font>
    <font>
      <b/>
      <sz val="18"/>
      <color rgb="FF1F4E78"/>
      <name val="Calibri"/>
      <charset val="1"/>
    </font>
    <font>
      <i/>
      <sz val="10"/>
      <color rgb="FF595959"/>
      <name val="Calibri"/>
      <charset val="1"/>
    </font>
    <font>
      <b/>
      <sz val="14"/>
      <name val="Calibri"/>
      <charset val="1"/>
    </font>
    <font>
      <b/>
      <sz val="28"/>
      <color rgb="FFC00000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6"/>
      <color rgb="FF1F4E78"/>
      <name val="Calibri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0" borderId="0" xfId="0" applyFont="1"/>
    <xf numFmtId="0" fontId="3" fillId="0" borderId="0" xfId="0" applyFont="1"/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4" borderId="1" xfId="0" applyFont="1" applyFill="1" applyBorder="1"/>
    <xf numFmtId="0" fontId="7" fillId="0" borderId="0" xfId="0" applyFont="1"/>
    <xf numFmtId="0" fontId="0" fillId="3" borderId="1" xfId="0" applyFill="1" applyBorder="1"/>
    <xf numFmtId="0" fontId="0" fillId="0" borderId="1" xfId="0" applyBorder="1"/>
    <xf numFmtId="0" fontId="6" fillId="3" borderId="1" xfId="0" applyFont="1" applyFill="1" applyBorder="1"/>
    <xf numFmtId="0" fontId="7" fillId="4" borderId="0" xfId="0" applyFont="1" applyFill="1"/>
    <xf numFmtId="0" fontId="6" fillId="0" borderId="1" xfId="0" applyFont="1" applyBorder="1" applyAlignment="1">
      <alignment wrapText="1"/>
    </xf>
    <xf numFmtId="0" fontId="9" fillId="5" borderId="0" xfId="0" applyFont="1" applyFill="1"/>
    <xf numFmtId="0" fontId="10" fillId="0" borderId="0" xfId="0" applyFont="1"/>
    <xf numFmtId="165" fontId="10" fillId="0" borderId="0" xfId="0" applyNumberFormat="1" applyFont="1"/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selection activeCell="D22" sqref="D22"/>
    </sheetView>
  </sheetViews>
  <sheetFormatPr defaultColWidth="8.7109375" defaultRowHeight="14.45"/>
  <cols>
    <col min="1" max="1" width="5" customWidth="1"/>
    <col min="2" max="2" width="34" customWidth="1"/>
    <col min="3" max="3" width="9" customWidth="1"/>
    <col min="4" max="4" width="18" customWidth="1"/>
    <col min="5" max="5" width="16" customWidth="1"/>
    <col min="6" max="6" width="15" customWidth="1"/>
    <col min="7" max="7" width="14" customWidth="1"/>
  </cols>
  <sheetData>
    <row r="1" spans="1:7" ht="23.45">
      <c r="A1" s="18" t="s">
        <v>0</v>
      </c>
      <c r="B1" s="18"/>
      <c r="C1" s="18"/>
      <c r="D1" s="18"/>
      <c r="E1" s="18"/>
      <c r="F1" s="18"/>
      <c r="G1" s="18"/>
    </row>
    <row r="2" spans="1:7">
      <c r="A2" s="19" t="s">
        <v>1</v>
      </c>
      <c r="B2" s="19"/>
      <c r="C2" s="19"/>
      <c r="D2" s="19"/>
      <c r="E2" s="19"/>
      <c r="F2" s="19"/>
      <c r="G2" s="19"/>
    </row>
    <row r="4" spans="1:7" ht="36.6">
      <c r="A4" s="2" t="s">
        <v>2</v>
      </c>
      <c r="B4" s="3">
        <f>G15</f>
        <v>61.4</v>
      </c>
      <c r="D4" s="20" t="str">
        <f>IF(B4&gt;=85,"EXCELLENT",IF(B4&gt;=65,"GOOD",IF(B4&gt;=45,"NEEDS IMPROVEMENT","CRITICAL")))</f>
        <v>NEEDS IMPROVEMENT</v>
      </c>
      <c r="E4" s="20"/>
      <c r="F4" s="20"/>
    </row>
    <row r="7" spans="1:7">
      <c r="A7" s="4" t="s">
        <v>3</v>
      </c>
      <c r="B7" s="13" t="s">
        <v>4</v>
      </c>
      <c r="C7" s="13" t="s">
        <v>5</v>
      </c>
      <c r="D7" s="13" t="s">
        <v>6</v>
      </c>
      <c r="E7" s="13" t="s">
        <v>7</v>
      </c>
      <c r="F7" s="13" t="s">
        <v>8</v>
      </c>
      <c r="G7" s="13" t="s">
        <v>9</v>
      </c>
    </row>
    <row r="8" spans="1:7">
      <c r="A8" s="5">
        <v>1</v>
      </c>
      <c r="B8" s="14" t="s">
        <v>10</v>
      </c>
      <c r="C8" s="14">
        <v>15</v>
      </c>
      <c r="D8" s="14">
        <v>274087</v>
      </c>
      <c r="E8" s="14">
        <v>274087</v>
      </c>
      <c r="F8" s="15">
        <v>1</v>
      </c>
      <c r="G8" s="14">
        <v>15</v>
      </c>
    </row>
    <row r="9" spans="1:7">
      <c r="A9" s="5">
        <v>2</v>
      </c>
      <c r="B9" s="14" t="s">
        <v>11</v>
      </c>
      <c r="C9" s="14">
        <v>20</v>
      </c>
      <c r="D9" s="15">
        <v>1</v>
      </c>
      <c r="E9" s="15">
        <v>0.70699999999999996</v>
      </c>
      <c r="F9" s="15">
        <v>0.70699999999999996</v>
      </c>
      <c r="G9" s="14">
        <v>12.4</v>
      </c>
    </row>
    <row r="10" spans="1:7">
      <c r="A10" s="5">
        <v>3</v>
      </c>
      <c r="B10" s="14" t="s">
        <v>12</v>
      </c>
      <c r="C10" s="14">
        <v>20</v>
      </c>
      <c r="D10" s="15">
        <v>1</v>
      </c>
      <c r="E10" s="15">
        <v>0.65</v>
      </c>
      <c r="F10" s="15">
        <v>0.65</v>
      </c>
      <c r="G10" s="14">
        <v>7.7</v>
      </c>
    </row>
    <row r="11" spans="1:7">
      <c r="A11" s="5">
        <v>4</v>
      </c>
      <c r="B11" s="14" t="s">
        <v>13</v>
      </c>
      <c r="C11" s="14">
        <v>15</v>
      </c>
      <c r="D11" s="15">
        <v>1</v>
      </c>
      <c r="E11" s="15">
        <v>0.82</v>
      </c>
      <c r="F11" s="15">
        <v>0.82</v>
      </c>
      <c r="G11" s="14">
        <v>11.1</v>
      </c>
    </row>
    <row r="12" spans="1:7">
      <c r="A12" s="5">
        <v>5</v>
      </c>
      <c r="B12" s="14" t="s">
        <v>14</v>
      </c>
      <c r="C12" s="14">
        <v>10</v>
      </c>
      <c r="D12" s="15">
        <v>1</v>
      </c>
      <c r="E12" s="15">
        <v>0.55000000000000004</v>
      </c>
      <c r="F12" s="15">
        <v>0.55000000000000004</v>
      </c>
      <c r="G12" s="14">
        <v>3.1</v>
      </c>
    </row>
    <row r="13" spans="1:7">
      <c r="A13" s="5">
        <v>6</v>
      </c>
      <c r="B13" s="14" t="s">
        <v>15</v>
      </c>
      <c r="C13" s="14">
        <v>10</v>
      </c>
      <c r="D13" s="15">
        <v>1</v>
      </c>
      <c r="E13" s="15">
        <v>0.84</v>
      </c>
      <c r="F13" s="15">
        <v>0.84</v>
      </c>
      <c r="G13" s="14">
        <v>7</v>
      </c>
    </row>
    <row r="14" spans="1:7">
      <c r="A14" s="5">
        <v>7</v>
      </c>
      <c r="B14" s="14" t="s">
        <v>16</v>
      </c>
      <c r="C14" s="14">
        <v>10</v>
      </c>
      <c r="D14" s="15">
        <v>40</v>
      </c>
      <c r="E14" s="15">
        <v>34</v>
      </c>
      <c r="F14" s="15">
        <v>0.85</v>
      </c>
      <c r="G14" s="14">
        <v>5.0999999999999996</v>
      </c>
    </row>
    <row r="15" spans="1:7">
      <c r="A15" s="6"/>
      <c r="B15" s="14" t="s">
        <v>17</v>
      </c>
      <c r="C15" s="14">
        <v>100</v>
      </c>
      <c r="D15" s="14"/>
      <c r="E15" s="14"/>
      <c r="F15" s="14"/>
      <c r="G15" s="14">
        <v>61.4</v>
      </c>
    </row>
    <row r="18" spans="1:2">
      <c r="A18" s="7" t="s">
        <v>18</v>
      </c>
    </row>
    <row r="19" spans="1:2">
      <c r="A19" t="s">
        <v>19</v>
      </c>
      <c r="B19" t="s">
        <v>20</v>
      </c>
    </row>
    <row r="20" spans="1:2">
      <c r="A20" t="s">
        <v>21</v>
      </c>
      <c r="B20" t="s">
        <v>22</v>
      </c>
    </row>
    <row r="21" spans="1:2">
      <c r="A21" t="s">
        <v>23</v>
      </c>
      <c r="B21" t="s">
        <v>24</v>
      </c>
    </row>
    <row r="22" spans="1:2">
      <c r="A22" t="s">
        <v>25</v>
      </c>
      <c r="B22" t="s">
        <v>26</v>
      </c>
    </row>
  </sheetData>
  <mergeCells count="3">
    <mergeCell ref="A1:G1"/>
    <mergeCell ref="A2:G2"/>
    <mergeCell ref="D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zoomScaleNormal="100" workbookViewId="0"/>
  </sheetViews>
  <sheetFormatPr defaultColWidth="8.7109375" defaultRowHeight="14.45"/>
  <cols>
    <col min="1" max="1" width="24" customWidth="1"/>
    <col min="2" max="2" width="12" customWidth="1"/>
    <col min="3" max="3" width="15" customWidth="1"/>
    <col min="4" max="4" width="20" customWidth="1"/>
    <col min="5" max="5" width="18" customWidth="1"/>
    <col min="6" max="6" width="15" customWidth="1"/>
    <col min="7" max="8" width="12" customWidth="1"/>
    <col min="9" max="9" width="16" customWidth="1"/>
    <col min="10" max="10" width="14" customWidth="1"/>
  </cols>
  <sheetData>
    <row r="1" spans="1:10" ht="21">
      <c r="A1" s="1" t="s">
        <v>27</v>
      </c>
    </row>
    <row r="2" spans="1:10" ht="23.85" customHeight="1">
      <c r="A2" s="16" t="s">
        <v>28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ht="27.6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</row>
    <row r="5" spans="1:10">
      <c r="A5" s="8" t="s">
        <v>39</v>
      </c>
      <c r="B5" s="9">
        <v>3498739</v>
      </c>
      <c r="C5" s="9">
        <v>1175576</v>
      </c>
      <c r="D5" s="9">
        <v>881682</v>
      </c>
      <c r="E5" s="9">
        <v>734735</v>
      </c>
      <c r="F5" s="9">
        <v>293894</v>
      </c>
      <c r="G5" s="9">
        <v>367368</v>
      </c>
      <c r="H5" s="9">
        <v>220421</v>
      </c>
      <c r="I5" s="9">
        <v>3673676</v>
      </c>
      <c r="J5" s="9" t="s">
        <v>40</v>
      </c>
    </row>
    <row r="6" spans="1:10">
      <c r="A6" s="8" t="s">
        <v>41</v>
      </c>
      <c r="B6" s="9">
        <v>2490891</v>
      </c>
      <c r="C6" s="9">
        <v>836940</v>
      </c>
      <c r="D6" s="9">
        <v>627705</v>
      </c>
      <c r="E6" s="9">
        <v>523087</v>
      </c>
      <c r="F6" s="9">
        <v>209235</v>
      </c>
      <c r="G6" s="9">
        <v>261544</v>
      </c>
      <c r="H6" s="9">
        <v>156925</v>
      </c>
      <c r="I6" s="9">
        <v>2615436</v>
      </c>
      <c r="J6" s="9" t="s">
        <v>40</v>
      </c>
    </row>
    <row r="7" spans="1:10">
      <c r="A7" s="8" t="s">
        <v>42</v>
      </c>
      <c r="B7" s="9">
        <v>1666549</v>
      </c>
      <c r="C7" s="9">
        <v>559960</v>
      </c>
      <c r="D7" s="9">
        <v>419970</v>
      </c>
      <c r="E7" s="9">
        <v>349975</v>
      </c>
      <c r="F7" s="9">
        <v>139990</v>
      </c>
      <c r="G7" s="9">
        <v>174988</v>
      </c>
      <c r="H7" s="9">
        <v>104993</v>
      </c>
      <c r="I7" s="9">
        <v>1749876</v>
      </c>
      <c r="J7" s="9" t="s">
        <v>40</v>
      </c>
    </row>
    <row r="8" spans="1:10">
      <c r="A8" s="8" t="s">
        <v>43</v>
      </c>
      <c r="B8" s="9">
        <v>2193590</v>
      </c>
      <c r="C8" s="9">
        <v>737046</v>
      </c>
      <c r="D8" s="9">
        <v>552785</v>
      </c>
      <c r="E8" s="9">
        <v>460654</v>
      </c>
      <c r="F8" s="9">
        <v>184262</v>
      </c>
      <c r="G8" s="9">
        <v>230327</v>
      </c>
      <c r="H8" s="9">
        <v>138196</v>
      </c>
      <c r="I8" s="9">
        <v>2303270</v>
      </c>
      <c r="J8" s="9" t="s">
        <v>40</v>
      </c>
    </row>
    <row r="9" spans="1:10">
      <c r="A9" s="8" t="s">
        <v>44</v>
      </c>
      <c r="B9" s="9">
        <v>1895686</v>
      </c>
      <c r="C9" s="9">
        <v>636950</v>
      </c>
      <c r="D9" s="9">
        <v>477713</v>
      </c>
      <c r="E9" s="9">
        <v>398094</v>
      </c>
      <c r="F9" s="9">
        <v>159238</v>
      </c>
      <c r="G9" s="9">
        <v>199047</v>
      </c>
      <c r="H9" s="9">
        <v>119428</v>
      </c>
      <c r="I9" s="9">
        <v>1990470</v>
      </c>
      <c r="J9" s="9" t="s">
        <v>40</v>
      </c>
    </row>
    <row r="10" spans="1:10">
      <c r="A10" s="8" t="s">
        <v>45</v>
      </c>
      <c r="B10" s="9">
        <v>1388525</v>
      </c>
      <c r="C10" s="9">
        <v>466544</v>
      </c>
      <c r="D10" s="9">
        <v>349908</v>
      </c>
      <c r="E10" s="9">
        <v>291590</v>
      </c>
      <c r="F10" s="9">
        <v>116636</v>
      </c>
      <c r="G10" s="9">
        <v>145795</v>
      </c>
      <c r="H10" s="9">
        <v>87478</v>
      </c>
      <c r="I10" s="9">
        <v>1457951</v>
      </c>
      <c r="J10" s="9" t="s">
        <v>40</v>
      </c>
    </row>
    <row r="11" spans="1:10">
      <c r="A11" s="8" t="s">
        <v>46</v>
      </c>
      <c r="B11" s="9">
        <v>1586625</v>
      </c>
      <c r="C11" s="9">
        <v>533106</v>
      </c>
      <c r="D11" s="9">
        <v>399829</v>
      </c>
      <c r="E11" s="9">
        <v>333191</v>
      </c>
      <c r="F11" s="9">
        <v>133276</v>
      </c>
      <c r="G11" s="9">
        <v>166596</v>
      </c>
      <c r="H11" s="9">
        <v>99958</v>
      </c>
      <c r="I11" s="9">
        <v>1665956</v>
      </c>
      <c r="J11" s="9" t="s">
        <v>40</v>
      </c>
    </row>
    <row r="12" spans="1:10">
      <c r="A12" s="8" t="s">
        <v>47</v>
      </c>
      <c r="B12" s="9">
        <v>995746</v>
      </c>
      <c r="C12" s="9">
        <v>334571</v>
      </c>
      <c r="D12" s="9">
        <v>250928</v>
      </c>
      <c r="E12" s="9">
        <v>209107</v>
      </c>
      <c r="F12" s="9">
        <v>83643</v>
      </c>
      <c r="G12" s="9">
        <v>104553</v>
      </c>
      <c r="H12" s="9">
        <v>62731</v>
      </c>
      <c r="I12" s="9">
        <v>1045533</v>
      </c>
      <c r="J12" s="9" t="s">
        <v>40</v>
      </c>
    </row>
    <row r="13" spans="1:10">
      <c r="A13" s="8" t="s">
        <v>48</v>
      </c>
      <c r="B13" s="9">
        <v>2029074</v>
      </c>
      <c r="C13" s="9">
        <v>681769</v>
      </c>
      <c r="D13" s="9">
        <v>511327</v>
      </c>
      <c r="E13" s="9">
        <v>426106</v>
      </c>
      <c r="F13" s="9">
        <v>170442</v>
      </c>
      <c r="G13" s="9">
        <v>213053</v>
      </c>
      <c r="H13" s="9">
        <v>127831</v>
      </c>
      <c r="I13" s="9">
        <v>2130528</v>
      </c>
      <c r="J13" s="9" t="s">
        <v>40</v>
      </c>
    </row>
    <row r="14" spans="1:10">
      <c r="A14" s="8" t="s">
        <v>49</v>
      </c>
      <c r="B14" s="9">
        <v>1138352</v>
      </c>
      <c r="C14" s="9">
        <v>382486</v>
      </c>
      <c r="D14" s="9">
        <v>286865</v>
      </c>
      <c r="E14" s="9">
        <v>239054</v>
      </c>
      <c r="F14" s="9">
        <v>95622</v>
      </c>
      <c r="G14" s="9">
        <v>119527</v>
      </c>
      <c r="H14" s="9">
        <v>71716</v>
      </c>
      <c r="I14" s="9">
        <v>1195270</v>
      </c>
      <c r="J14" s="9" t="s">
        <v>40</v>
      </c>
    </row>
    <row r="15" spans="1:10">
      <c r="A15" s="8" t="s">
        <v>50</v>
      </c>
      <c r="B15" s="9">
        <v>1290922</v>
      </c>
      <c r="C15" s="9">
        <v>433750</v>
      </c>
      <c r="D15" s="9">
        <v>325312</v>
      </c>
      <c r="E15" s="9">
        <v>271094</v>
      </c>
      <c r="F15" s="9">
        <v>108437</v>
      </c>
      <c r="G15" s="9">
        <v>135547</v>
      </c>
      <c r="H15" s="9">
        <v>81328</v>
      </c>
      <c r="I15" s="9">
        <v>1355468</v>
      </c>
      <c r="J15" s="9" t="s">
        <v>40</v>
      </c>
    </row>
    <row r="16" spans="1:10">
      <c r="A16" s="8" t="s">
        <v>51</v>
      </c>
      <c r="B16" s="9">
        <v>364247</v>
      </c>
      <c r="C16" s="9">
        <v>122387</v>
      </c>
      <c r="D16" s="9">
        <v>91790</v>
      </c>
      <c r="E16" s="9">
        <v>76492</v>
      </c>
      <c r="F16" s="9">
        <v>30597</v>
      </c>
      <c r="G16" s="9">
        <v>38246</v>
      </c>
      <c r="H16" s="9">
        <v>22947</v>
      </c>
      <c r="I16" s="9">
        <v>382459</v>
      </c>
      <c r="J16" s="9" t="s">
        <v>40</v>
      </c>
    </row>
    <row r="17" spans="1:10">
      <c r="A17" s="8" t="s">
        <v>52</v>
      </c>
      <c r="B17" s="9">
        <v>817668</v>
      </c>
      <c r="C17" s="9">
        <v>274736</v>
      </c>
      <c r="D17" s="9">
        <v>206052</v>
      </c>
      <c r="E17" s="9">
        <v>171710</v>
      </c>
      <c r="F17" s="9">
        <v>68684</v>
      </c>
      <c r="G17" s="9">
        <v>85855</v>
      </c>
      <c r="H17" s="9">
        <v>51514</v>
      </c>
      <c r="I17" s="9">
        <v>858551</v>
      </c>
      <c r="J17" s="9" t="s">
        <v>40</v>
      </c>
    </row>
    <row r="18" spans="1:10">
      <c r="A18" s="8" t="s">
        <v>53</v>
      </c>
      <c r="B18" s="9">
        <v>769751</v>
      </c>
      <c r="C18" s="9">
        <v>258636</v>
      </c>
      <c r="D18" s="9">
        <v>193977</v>
      </c>
      <c r="E18" s="9">
        <v>161648</v>
      </c>
      <c r="F18" s="9">
        <v>64659</v>
      </c>
      <c r="G18" s="9">
        <v>80824</v>
      </c>
      <c r="H18" s="9">
        <v>48495</v>
      </c>
      <c r="I18" s="9">
        <v>808239</v>
      </c>
      <c r="J18" s="9" t="s">
        <v>40</v>
      </c>
    </row>
    <row r="19" spans="1:10">
      <c r="A19" s="8" t="s">
        <v>54</v>
      </c>
      <c r="B19" s="9">
        <v>617508</v>
      </c>
      <c r="C19" s="9">
        <v>207483</v>
      </c>
      <c r="D19" s="9">
        <v>155612</v>
      </c>
      <c r="E19" s="9">
        <v>129677</v>
      </c>
      <c r="F19" s="9">
        <v>51871</v>
      </c>
      <c r="G19" s="9">
        <v>64838</v>
      </c>
      <c r="H19" s="9">
        <v>38902</v>
      </c>
      <c r="I19" s="9">
        <v>648383</v>
      </c>
      <c r="J19" s="9" t="s">
        <v>40</v>
      </c>
    </row>
    <row r="20" spans="1:10">
      <c r="A20" s="8" t="s">
        <v>55</v>
      </c>
      <c r="B20" s="9">
        <v>600163</v>
      </c>
      <c r="C20" s="9">
        <v>201655</v>
      </c>
      <c r="D20" s="9">
        <v>151241</v>
      </c>
      <c r="E20" s="9">
        <v>126034</v>
      </c>
      <c r="F20" s="9">
        <v>50414</v>
      </c>
      <c r="G20" s="9">
        <v>63017</v>
      </c>
      <c r="H20" s="9">
        <v>37810</v>
      </c>
      <c r="I20" s="9">
        <v>630171</v>
      </c>
      <c r="J20" s="9" t="s">
        <v>40</v>
      </c>
    </row>
    <row r="21" spans="1:10">
      <c r="A21" s="8" t="s">
        <v>56</v>
      </c>
      <c r="B21" s="9">
        <v>684627</v>
      </c>
      <c r="C21" s="9">
        <v>230035</v>
      </c>
      <c r="D21" s="9">
        <v>172526</v>
      </c>
      <c r="E21" s="9">
        <v>143772</v>
      </c>
      <c r="F21" s="9">
        <v>57509</v>
      </c>
      <c r="G21" s="9">
        <v>71886</v>
      </c>
      <c r="H21" s="9">
        <v>43130</v>
      </c>
      <c r="I21" s="9">
        <v>718858</v>
      </c>
      <c r="J21" s="9" t="s">
        <v>40</v>
      </c>
    </row>
    <row r="22" spans="1:10">
      <c r="A22" s="8" t="s">
        <v>57</v>
      </c>
      <c r="B22" s="9">
        <v>994628</v>
      </c>
      <c r="C22" s="9">
        <v>334195</v>
      </c>
      <c r="D22" s="9">
        <v>250646</v>
      </c>
      <c r="E22" s="9">
        <v>208872</v>
      </c>
      <c r="F22" s="9">
        <v>83549</v>
      </c>
      <c r="G22" s="9">
        <v>104436</v>
      </c>
      <c r="H22" s="9">
        <v>62661</v>
      </c>
      <c r="I22" s="9">
        <v>1044359</v>
      </c>
      <c r="J22" s="9" t="s">
        <v>40</v>
      </c>
    </row>
    <row r="23" spans="1:10">
      <c r="A23" s="8" t="s">
        <v>58</v>
      </c>
      <c r="B23" s="9">
        <v>901896</v>
      </c>
      <c r="C23" s="9">
        <v>303037</v>
      </c>
      <c r="D23" s="9">
        <v>227278</v>
      </c>
      <c r="E23" s="9">
        <v>189398</v>
      </c>
      <c r="F23" s="9">
        <v>75759</v>
      </c>
      <c r="G23" s="9">
        <v>94699</v>
      </c>
      <c r="H23" s="9">
        <v>56820</v>
      </c>
      <c r="I23" s="9">
        <v>946991</v>
      </c>
      <c r="J23" s="9" t="s">
        <v>40</v>
      </c>
    </row>
    <row r="24" spans="1:10">
      <c r="A24" s="8" t="s">
        <v>59</v>
      </c>
      <c r="B24" s="9">
        <v>1120070</v>
      </c>
      <c r="C24" s="9">
        <v>376344</v>
      </c>
      <c r="D24" s="9">
        <v>282258</v>
      </c>
      <c r="E24" s="9">
        <v>235215</v>
      </c>
      <c r="F24" s="9">
        <v>94086</v>
      </c>
      <c r="G24" s="9">
        <v>117607</v>
      </c>
      <c r="H24" s="9">
        <v>70564</v>
      </c>
      <c r="I24" s="9">
        <v>1176074</v>
      </c>
      <c r="J24" s="9" t="s">
        <v>40</v>
      </c>
    </row>
    <row r="25" spans="1:10">
      <c r="A25" s="8" t="s">
        <v>60</v>
      </c>
      <c r="B25" s="9">
        <v>595527</v>
      </c>
      <c r="C25" s="9">
        <v>200097</v>
      </c>
      <c r="D25" s="9">
        <v>150073</v>
      </c>
      <c r="E25" s="9">
        <v>125061</v>
      </c>
      <c r="F25" s="9">
        <v>50024</v>
      </c>
      <c r="G25" s="9">
        <v>62530</v>
      </c>
      <c r="H25" s="9">
        <v>37518</v>
      </c>
      <c r="I25" s="9">
        <v>625303</v>
      </c>
      <c r="J25" s="9" t="s">
        <v>40</v>
      </c>
    </row>
    <row r="26" spans="1:10">
      <c r="A26" s="8" t="s">
        <v>61</v>
      </c>
      <c r="B26" s="9">
        <v>612310</v>
      </c>
      <c r="C26" s="9">
        <v>205736</v>
      </c>
      <c r="D26" s="9">
        <v>154302</v>
      </c>
      <c r="E26" s="9">
        <v>128585</v>
      </c>
      <c r="F26" s="9">
        <v>51434</v>
      </c>
      <c r="G26" s="9">
        <v>64293</v>
      </c>
      <c r="H26" s="9">
        <v>38576</v>
      </c>
      <c r="I26" s="9">
        <v>642926</v>
      </c>
      <c r="J26" s="9" t="s">
        <v>40</v>
      </c>
    </row>
    <row r="27" spans="1:10">
      <c r="A27" s="8" t="s">
        <v>62</v>
      </c>
      <c r="B27" s="9">
        <v>686294</v>
      </c>
      <c r="C27" s="9">
        <v>230595</v>
      </c>
      <c r="D27" s="9">
        <v>172946</v>
      </c>
      <c r="E27" s="9">
        <v>144122</v>
      </c>
      <c r="F27" s="9">
        <v>57649</v>
      </c>
      <c r="G27" s="9">
        <v>72061</v>
      </c>
      <c r="H27" s="9">
        <v>43236</v>
      </c>
      <c r="I27" s="9">
        <v>720609</v>
      </c>
      <c r="J27" s="9" t="s">
        <v>40</v>
      </c>
    </row>
    <row r="30" spans="1:10">
      <c r="A30" s="6" t="s">
        <v>63</v>
      </c>
      <c r="B30" s="6">
        <f t="shared" ref="B30:I30" si="0">SUM(B5:B27)</f>
        <v>28939388</v>
      </c>
      <c r="C30" s="6">
        <f t="shared" si="0"/>
        <v>9723634</v>
      </c>
      <c r="D30" s="6">
        <f t="shared" si="0"/>
        <v>7292725</v>
      </c>
      <c r="E30" s="6">
        <f t="shared" si="0"/>
        <v>6077273</v>
      </c>
      <c r="F30" s="6">
        <f t="shared" si="0"/>
        <v>2430910</v>
      </c>
      <c r="G30" s="6">
        <f t="shared" si="0"/>
        <v>3038637</v>
      </c>
      <c r="H30" s="6">
        <f t="shared" si="0"/>
        <v>1823178</v>
      </c>
      <c r="I30" s="6">
        <f t="shared" si="0"/>
        <v>30386357</v>
      </c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Normal="100" workbookViewId="0"/>
  </sheetViews>
  <sheetFormatPr defaultColWidth="8.7109375" defaultRowHeight="14.45"/>
  <cols>
    <col min="1" max="2" width="24" customWidth="1"/>
    <col min="3" max="3" width="15" customWidth="1"/>
    <col min="4" max="4" width="16" customWidth="1"/>
    <col min="5" max="6" width="18" customWidth="1"/>
    <col min="7" max="7" width="55" customWidth="1"/>
  </cols>
  <sheetData>
    <row r="1" spans="1:7" ht="21">
      <c r="A1" s="1" t="s">
        <v>64</v>
      </c>
    </row>
    <row r="2" spans="1:7">
      <c r="A2" s="19" t="s">
        <v>65</v>
      </c>
      <c r="B2" s="19"/>
      <c r="C2" s="19"/>
      <c r="D2" s="19"/>
      <c r="E2" s="19"/>
      <c r="F2" s="19"/>
      <c r="G2" s="19"/>
    </row>
    <row r="4" spans="1:7" ht="27.6">
      <c r="A4" s="4" t="s">
        <v>29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spans="1:7">
      <c r="A5" s="9" t="s">
        <v>39</v>
      </c>
      <c r="B5" s="9">
        <f>'1_Generation_Inventory'!I5</f>
        <v>3673676</v>
      </c>
      <c r="C5" s="8">
        <v>2328900</v>
      </c>
      <c r="D5" s="9">
        <v>11</v>
      </c>
      <c r="E5" s="9">
        <v>2571573</v>
      </c>
      <c r="F5" s="9">
        <v>2026143</v>
      </c>
      <c r="G5" s="9" t="s">
        <v>72</v>
      </c>
    </row>
    <row r="6" spans="1:7">
      <c r="A6" s="9" t="s">
        <v>41</v>
      </c>
      <c r="B6" s="9">
        <f>'1_Generation_Inventory'!I6</f>
        <v>2615436</v>
      </c>
      <c r="C6" s="8">
        <v>1458108</v>
      </c>
      <c r="D6" s="9">
        <v>8</v>
      </c>
      <c r="E6" s="9">
        <v>1830805</v>
      </c>
      <c r="F6" s="9">
        <v>1268554</v>
      </c>
      <c r="G6" s="9" t="s">
        <v>72</v>
      </c>
    </row>
    <row r="7" spans="1:7">
      <c r="A7" s="9" t="s">
        <v>42</v>
      </c>
      <c r="B7" s="9">
        <f>'1_Generation_Inventory'!I7</f>
        <v>1749876</v>
      </c>
      <c r="C7" s="8">
        <v>993060</v>
      </c>
      <c r="D7" s="9">
        <v>5</v>
      </c>
      <c r="E7" s="9">
        <v>1224913</v>
      </c>
      <c r="F7" s="9">
        <v>863962</v>
      </c>
      <c r="G7" s="9" t="s">
        <v>72</v>
      </c>
    </row>
    <row r="8" spans="1:7">
      <c r="A8" s="9" t="s">
        <v>43</v>
      </c>
      <c r="B8" s="9">
        <f>'1_Generation_Inventory'!I8</f>
        <v>2303270</v>
      </c>
      <c r="C8" s="8">
        <v>1260628</v>
      </c>
      <c r="D8" s="9">
        <v>7</v>
      </c>
      <c r="E8" s="9">
        <v>1612289</v>
      </c>
      <c r="F8" s="9">
        <v>1096746</v>
      </c>
      <c r="G8" s="9" t="s">
        <v>72</v>
      </c>
    </row>
    <row r="9" spans="1:7">
      <c r="A9" s="9" t="s">
        <v>44</v>
      </c>
      <c r="B9" s="9">
        <f>'1_Generation_Inventory'!I9</f>
        <v>1990470</v>
      </c>
      <c r="C9" s="8">
        <v>1161732</v>
      </c>
      <c r="D9" s="9">
        <v>6</v>
      </c>
      <c r="E9" s="9">
        <v>1393329</v>
      </c>
      <c r="F9" s="9">
        <v>1010707</v>
      </c>
      <c r="G9" s="9" t="s">
        <v>72</v>
      </c>
    </row>
    <row r="10" spans="1:7">
      <c r="A10" s="9" t="s">
        <v>45</v>
      </c>
      <c r="B10" s="9">
        <f>'1_Generation_Inventory'!I10</f>
        <v>1457951</v>
      </c>
      <c r="C10" s="8">
        <v>820345</v>
      </c>
      <c r="D10" s="9">
        <v>4</v>
      </c>
      <c r="E10" s="9">
        <v>1020566</v>
      </c>
      <c r="F10" s="9">
        <v>713700</v>
      </c>
      <c r="G10" s="9" t="s">
        <v>72</v>
      </c>
    </row>
    <row r="11" spans="1:7">
      <c r="A11" s="9" t="s">
        <v>46</v>
      </c>
      <c r="B11" s="9">
        <f>'1_Generation_Inventory'!I11</f>
        <v>1665956</v>
      </c>
      <c r="C11" s="8">
        <v>948292</v>
      </c>
      <c r="D11" s="9">
        <v>5</v>
      </c>
      <c r="E11" s="9">
        <v>1166169</v>
      </c>
      <c r="F11" s="9">
        <v>825014</v>
      </c>
      <c r="G11" s="9" t="s">
        <v>72</v>
      </c>
    </row>
    <row r="12" spans="1:7">
      <c r="A12" s="9" t="s">
        <v>47</v>
      </c>
      <c r="B12" s="9">
        <f>'1_Generation_Inventory'!I12</f>
        <v>1045533</v>
      </c>
      <c r="C12" s="8">
        <v>605044</v>
      </c>
      <c r="D12" s="9">
        <v>3</v>
      </c>
      <c r="E12" s="9">
        <v>731873</v>
      </c>
      <c r="F12" s="9">
        <v>526388</v>
      </c>
      <c r="G12" s="9" t="s">
        <v>72</v>
      </c>
    </row>
    <row r="13" spans="1:7">
      <c r="A13" s="9" t="s">
        <v>48</v>
      </c>
      <c r="B13" s="9">
        <f>'1_Generation_Inventory'!I13</f>
        <v>2130528</v>
      </c>
      <c r="C13" s="8">
        <v>1272335</v>
      </c>
      <c r="D13" s="9">
        <v>6</v>
      </c>
      <c r="E13" s="9">
        <v>1491370</v>
      </c>
      <c r="F13" s="9">
        <v>1106931</v>
      </c>
      <c r="G13" s="9" t="s">
        <v>72</v>
      </c>
    </row>
    <row r="14" spans="1:7">
      <c r="A14" s="9" t="s">
        <v>49</v>
      </c>
      <c r="B14" s="9">
        <f>'1_Generation_Inventory'!I14</f>
        <v>1195270</v>
      </c>
      <c r="C14" s="8">
        <v>649007</v>
      </c>
      <c r="D14" s="9">
        <v>4</v>
      </c>
      <c r="E14" s="9">
        <v>836689</v>
      </c>
      <c r="F14" s="9">
        <v>564636</v>
      </c>
      <c r="G14" s="9" t="s">
        <v>72</v>
      </c>
    </row>
    <row r="15" spans="1:7">
      <c r="A15" s="9" t="s">
        <v>50</v>
      </c>
      <c r="B15" s="9">
        <f>'1_Generation_Inventory'!I15</f>
        <v>1355468</v>
      </c>
      <c r="C15" s="8">
        <v>741256</v>
      </c>
      <c r="D15" s="9">
        <v>4</v>
      </c>
      <c r="E15" s="9">
        <v>948828</v>
      </c>
      <c r="F15" s="9">
        <v>644893</v>
      </c>
      <c r="G15" s="9" t="s">
        <v>72</v>
      </c>
    </row>
    <row r="16" spans="1:7">
      <c r="A16" s="9" t="s">
        <v>51</v>
      </c>
      <c r="B16" s="9">
        <f>'1_Generation_Inventory'!I16</f>
        <v>382459</v>
      </c>
      <c r="C16" s="8">
        <v>214382</v>
      </c>
      <c r="D16" s="9">
        <v>1</v>
      </c>
      <c r="E16" s="9">
        <v>267721</v>
      </c>
      <c r="F16" s="9">
        <v>186512</v>
      </c>
      <c r="G16" s="9" t="s">
        <v>72</v>
      </c>
    </row>
    <row r="17" spans="1:7">
      <c r="A17" s="9" t="s">
        <v>52</v>
      </c>
      <c r="B17" s="9">
        <f>'1_Generation_Inventory'!I17</f>
        <v>858551</v>
      </c>
      <c r="C17" s="8">
        <v>427261</v>
      </c>
      <c r="D17" s="9">
        <v>3</v>
      </c>
      <c r="E17" s="9">
        <v>600986</v>
      </c>
      <c r="F17" s="9">
        <v>371717</v>
      </c>
      <c r="G17" s="9" t="s">
        <v>72</v>
      </c>
    </row>
    <row r="18" spans="1:7">
      <c r="A18" s="9" t="s">
        <v>53</v>
      </c>
      <c r="B18" s="9">
        <f>'1_Generation_Inventory'!I18</f>
        <v>808239</v>
      </c>
      <c r="C18" s="8">
        <v>404026</v>
      </c>
      <c r="D18" s="9">
        <v>2</v>
      </c>
      <c r="E18" s="9">
        <v>565767</v>
      </c>
      <c r="F18" s="9">
        <v>351503</v>
      </c>
      <c r="G18" s="9" t="s">
        <v>72</v>
      </c>
    </row>
    <row r="19" spans="1:7">
      <c r="A19" s="9" t="s">
        <v>54</v>
      </c>
      <c r="B19" s="9">
        <f>'1_Generation_Inventory'!I19</f>
        <v>648383</v>
      </c>
      <c r="C19" s="8">
        <v>411716</v>
      </c>
      <c r="D19" s="9">
        <v>2</v>
      </c>
      <c r="E19" s="9">
        <v>453868</v>
      </c>
      <c r="F19" s="9">
        <v>358193</v>
      </c>
      <c r="G19" s="9" t="s">
        <v>72</v>
      </c>
    </row>
    <row r="20" spans="1:7">
      <c r="A20" s="9" t="s">
        <v>55</v>
      </c>
      <c r="B20" s="9">
        <f>'1_Generation_Inventory'!I20</f>
        <v>630171</v>
      </c>
      <c r="C20" s="8">
        <v>384086</v>
      </c>
      <c r="D20" s="9">
        <v>2</v>
      </c>
      <c r="E20" s="9">
        <v>441120</v>
      </c>
      <c r="F20" s="9">
        <v>334155</v>
      </c>
      <c r="G20" s="9" t="s">
        <v>72</v>
      </c>
    </row>
    <row r="21" spans="1:7">
      <c r="A21" s="9" t="s">
        <v>56</v>
      </c>
      <c r="B21" s="9">
        <f>'1_Generation_Inventory'!I21</f>
        <v>718858</v>
      </c>
      <c r="C21" s="8">
        <v>404030</v>
      </c>
      <c r="D21" s="9">
        <v>2</v>
      </c>
      <c r="E21" s="9">
        <v>503201</v>
      </c>
      <c r="F21" s="9">
        <v>351506</v>
      </c>
      <c r="G21" s="9" t="s">
        <v>72</v>
      </c>
    </row>
    <row r="22" spans="1:7">
      <c r="A22" s="9" t="s">
        <v>57</v>
      </c>
      <c r="B22" s="9">
        <f>'1_Generation_Inventory'!I22</f>
        <v>1044359</v>
      </c>
      <c r="C22" s="8">
        <v>609829</v>
      </c>
      <c r="D22" s="9">
        <v>3</v>
      </c>
      <c r="E22" s="9">
        <v>731051</v>
      </c>
      <c r="F22" s="9">
        <v>530551</v>
      </c>
      <c r="G22" s="9" t="s">
        <v>72</v>
      </c>
    </row>
    <row r="23" spans="1:7">
      <c r="A23" s="9" t="s">
        <v>58</v>
      </c>
      <c r="B23" s="9">
        <f>'1_Generation_Inventory'!I23</f>
        <v>946991</v>
      </c>
      <c r="C23" s="8">
        <v>559618</v>
      </c>
      <c r="D23" s="9">
        <v>3</v>
      </c>
      <c r="E23" s="9">
        <v>662894</v>
      </c>
      <c r="F23" s="9">
        <v>486868</v>
      </c>
      <c r="G23" s="9" t="s">
        <v>72</v>
      </c>
    </row>
    <row r="24" spans="1:7">
      <c r="A24" s="9" t="s">
        <v>59</v>
      </c>
      <c r="B24" s="9">
        <f>'1_Generation_Inventory'!I24</f>
        <v>1176074</v>
      </c>
      <c r="C24" s="8">
        <v>582921</v>
      </c>
      <c r="D24" s="9">
        <v>4</v>
      </c>
      <c r="E24" s="9">
        <v>823252</v>
      </c>
      <c r="F24" s="9">
        <v>507141</v>
      </c>
      <c r="G24" s="9" t="s">
        <v>72</v>
      </c>
    </row>
    <row r="25" spans="1:7">
      <c r="A25" s="9" t="s">
        <v>60</v>
      </c>
      <c r="B25" s="9">
        <f>'1_Generation_Inventory'!I25</f>
        <v>625303</v>
      </c>
      <c r="C25" s="8">
        <v>350534</v>
      </c>
      <c r="D25" s="9">
        <v>2</v>
      </c>
      <c r="E25" s="9">
        <v>437712</v>
      </c>
      <c r="F25" s="9">
        <v>304965</v>
      </c>
      <c r="G25" s="9" t="s">
        <v>72</v>
      </c>
    </row>
    <row r="26" spans="1:7">
      <c r="A26" s="9" t="s">
        <v>61</v>
      </c>
      <c r="B26" s="9">
        <f>'1_Generation_Inventory'!I26</f>
        <v>642926</v>
      </c>
      <c r="C26" s="8">
        <v>411353</v>
      </c>
      <c r="D26" s="9">
        <v>2</v>
      </c>
      <c r="E26" s="9">
        <v>450048</v>
      </c>
      <c r="F26" s="9">
        <v>357877</v>
      </c>
      <c r="G26" s="9" t="s">
        <v>72</v>
      </c>
    </row>
    <row r="27" spans="1:7">
      <c r="A27" s="9" t="s">
        <v>62</v>
      </c>
      <c r="B27" s="9">
        <f>'1_Generation_Inventory'!I27</f>
        <v>720609</v>
      </c>
      <c r="C27" s="8">
        <v>424457</v>
      </c>
      <c r="D27" s="9">
        <v>2</v>
      </c>
      <c r="E27" s="9">
        <v>504426</v>
      </c>
      <c r="F27" s="9">
        <v>369278</v>
      </c>
      <c r="G27" s="9" t="s">
        <v>72</v>
      </c>
    </row>
    <row r="30" spans="1:7">
      <c r="A30" s="6" t="s">
        <v>63</v>
      </c>
      <c r="B30" s="6">
        <f>SUM(B5:B27)</f>
        <v>30386357</v>
      </c>
      <c r="C30" s="6">
        <f>SUM(C5:C27)</f>
        <v>17422920</v>
      </c>
      <c r="D30" s="6">
        <f>SUM(D5:D27)</f>
        <v>91</v>
      </c>
      <c r="E30" s="6">
        <f>SUM(E5:E27)</f>
        <v>21270450</v>
      </c>
      <c r="F30" s="6">
        <f>SUM(F5:F27)</f>
        <v>15157940</v>
      </c>
      <c r="G30" s="6"/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zoomScaleNormal="100" workbookViewId="0"/>
  </sheetViews>
  <sheetFormatPr defaultColWidth="8.7109375" defaultRowHeight="14.45"/>
  <cols>
    <col min="1" max="1" width="24" customWidth="1"/>
    <col min="2" max="4" width="26" customWidth="1"/>
    <col min="5" max="5" width="20" customWidth="1"/>
    <col min="6" max="6" width="55" customWidth="1"/>
  </cols>
  <sheetData>
    <row r="1" spans="1:6" ht="21">
      <c r="A1" s="1" t="s">
        <v>73</v>
      </c>
    </row>
    <row r="2" spans="1:6">
      <c r="A2" s="19" t="s">
        <v>74</v>
      </c>
      <c r="B2" s="19"/>
      <c r="C2" s="19"/>
      <c r="D2" s="19"/>
      <c r="E2" s="19"/>
      <c r="F2" s="19"/>
    </row>
    <row r="4" spans="1:6" ht="27.6">
      <c r="A4" s="4" t="s">
        <v>29</v>
      </c>
      <c r="B4" s="4" t="s">
        <v>75</v>
      </c>
      <c r="C4" s="4" t="s">
        <v>76</v>
      </c>
      <c r="D4" s="4" t="s">
        <v>77</v>
      </c>
      <c r="E4" s="4" t="s">
        <v>78</v>
      </c>
      <c r="F4" s="4" t="s">
        <v>71</v>
      </c>
    </row>
    <row r="5" spans="1:6">
      <c r="A5" s="9" t="s">
        <v>39</v>
      </c>
      <c r="B5" s="9">
        <f>'2_Collection_Log'!C5</f>
        <v>2328900</v>
      </c>
      <c r="C5" s="8">
        <v>351887</v>
      </c>
      <c r="D5" s="9">
        <v>555491</v>
      </c>
      <c r="E5" s="9">
        <v>213673</v>
      </c>
      <c r="F5" s="9" t="s">
        <v>79</v>
      </c>
    </row>
    <row r="6" spans="1:6">
      <c r="A6" s="9" t="s">
        <v>41</v>
      </c>
      <c r="B6" s="9">
        <f>'2_Collection_Log'!C6</f>
        <v>1458108</v>
      </c>
      <c r="C6" s="8">
        <v>202020</v>
      </c>
      <c r="D6" s="9">
        <v>231991</v>
      </c>
      <c r="E6" s="9">
        <v>140217</v>
      </c>
      <c r="F6" s="9" t="s">
        <v>79</v>
      </c>
    </row>
    <row r="7" spans="1:6">
      <c r="A7" s="9" t="s">
        <v>42</v>
      </c>
      <c r="B7" s="9">
        <f>'2_Collection_Log'!C7</f>
        <v>993060</v>
      </c>
      <c r="C7" s="8">
        <v>239074</v>
      </c>
      <c r="D7" s="9">
        <v>359463</v>
      </c>
      <c r="E7" s="9">
        <v>161149</v>
      </c>
      <c r="F7" s="9" t="s">
        <v>79</v>
      </c>
    </row>
    <row r="8" spans="1:6">
      <c r="A8" s="9" t="s">
        <v>43</v>
      </c>
      <c r="B8" s="9">
        <f>'2_Collection_Log'!C8</f>
        <v>1260628</v>
      </c>
      <c r="C8" s="8">
        <v>286472</v>
      </c>
      <c r="D8" s="9">
        <v>454504</v>
      </c>
      <c r="E8" s="9">
        <v>175994</v>
      </c>
      <c r="F8" s="9" t="s">
        <v>79</v>
      </c>
    </row>
    <row r="9" spans="1:6">
      <c r="A9" s="9" t="s">
        <v>44</v>
      </c>
      <c r="B9" s="9">
        <f>'2_Collection_Log'!C9</f>
        <v>1161732</v>
      </c>
      <c r="C9" s="8">
        <v>267672</v>
      </c>
      <c r="D9" s="9">
        <v>405443</v>
      </c>
      <c r="E9" s="9">
        <v>175365</v>
      </c>
      <c r="F9" s="9" t="s">
        <v>79</v>
      </c>
    </row>
    <row r="10" spans="1:6">
      <c r="A10" s="9" t="s">
        <v>45</v>
      </c>
      <c r="B10" s="9">
        <f>'2_Collection_Log'!C10</f>
        <v>820345</v>
      </c>
      <c r="C10" s="8">
        <v>239821</v>
      </c>
      <c r="D10" s="9">
        <v>333034</v>
      </c>
      <c r="E10" s="9">
        <v>160627</v>
      </c>
      <c r="F10" s="9" t="s">
        <v>79</v>
      </c>
    </row>
    <row r="11" spans="1:6">
      <c r="A11" s="9" t="s">
        <v>46</v>
      </c>
      <c r="B11" s="9">
        <f>'2_Collection_Log'!C11</f>
        <v>948292</v>
      </c>
      <c r="C11" s="8">
        <v>122486</v>
      </c>
      <c r="D11" s="9">
        <v>148692</v>
      </c>
      <c r="E11" s="9">
        <v>73393</v>
      </c>
      <c r="F11" s="9" t="s">
        <v>79</v>
      </c>
    </row>
    <row r="12" spans="1:6">
      <c r="A12" s="9" t="s">
        <v>47</v>
      </c>
      <c r="B12" s="9">
        <f>'2_Collection_Log'!C12</f>
        <v>605044</v>
      </c>
      <c r="C12" s="8">
        <v>82261</v>
      </c>
      <c r="D12" s="9">
        <v>100062</v>
      </c>
      <c r="E12" s="9">
        <v>46656</v>
      </c>
      <c r="F12" s="9" t="s">
        <v>79</v>
      </c>
    </row>
    <row r="13" spans="1:6">
      <c r="A13" s="9" t="s">
        <v>48</v>
      </c>
      <c r="B13" s="9">
        <f>'2_Collection_Log'!C13</f>
        <v>1272335</v>
      </c>
      <c r="C13" s="8">
        <v>223415</v>
      </c>
      <c r="D13" s="9">
        <v>316767</v>
      </c>
      <c r="E13" s="9">
        <v>136735</v>
      </c>
      <c r="F13" s="9" t="s">
        <v>79</v>
      </c>
    </row>
    <row r="14" spans="1:6">
      <c r="A14" s="9" t="s">
        <v>49</v>
      </c>
      <c r="B14" s="9">
        <f>'2_Collection_Log'!C14</f>
        <v>649007</v>
      </c>
      <c r="C14" s="8">
        <v>125931</v>
      </c>
      <c r="D14" s="9">
        <v>151716</v>
      </c>
      <c r="E14" s="9">
        <v>74978</v>
      </c>
      <c r="F14" s="9" t="s">
        <v>79</v>
      </c>
    </row>
    <row r="15" spans="1:6">
      <c r="A15" s="9" t="s">
        <v>50</v>
      </c>
      <c r="B15" s="9">
        <f>'2_Collection_Log'!C15</f>
        <v>741256</v>
      </c>
      <c r="C15" s="8">
        <v>227811</v>
      </c>
      <c r="D15" s="9">
        <v>324407</v>
      </c>
      <c r="E15" s="9">
        <v>148886</v>
      </c>
      <c r="F15" s="9" t="s">
        <v>79</v>
      </c>
    </row>
    <row r="16" spans="1:6">
      <c r="A16" s="9" t="s">
        <v>51</v>
      </c>
      <c r="B16" s="9">
        <f>'2_Collection_Log'!C16</f>
        <v>214382</v>
      </c>
      <c r="C16" s="8">
        <v>33064</v>
      </c>
      <c r="D16" s="9">
        <v>48424</v>
      </c>
      <c r="E16" s="9">
        <v>19104</v>
      </c>
      <c r="F16" s="9" t="s">
        <v>79</v>
      </c>
    </row>
    <row r="17" spans="1:6">
      <c r="A17" s="9" t="s">
        <v>52</v>
      </c>
      <c r="B17" s="9">
        <f>'2_Collection_Log'!C17</f>
        <v>427261</v>
      </c>
      <c r="C17" s="8">
        <v>83697</v>
      </c>
      <c r="D17" s="9">
        <v>133477</v>
      </c>
      <c r="E17" s="9">
        <v>55140</v>
      </c>
      <c r="F17" s="9" t="s">
        <v>79</v>
      </c>
    </row>
    <row r="18" spans="1:6">
      <c r="A18" s="9" t="s">
        <v>53</v>
      </c>
      <c r="B18" s="9">
        <f>'2_Collection_Log'!C18</f>
        <v>404026</v>
      </c>
      <c r="C18" s="8">
        <v>93488</v>
      </c>
      <c r="D18" s="9">
        <v>134838</v>
      </c>
      <c r="E18" s="9">
        <v>64814</v>
      </c>
      <c r="F18" s="9" t="s">
        <v>79</v>
      </c>
    </row>
    <row r="19" spans="1:6">
      <c r="A19" s="9" t="s">
        <v>54</v>
      </c>
      <c r="B19" s="9">
        <f>'2_Collection_Log'!C19</f>
        <v>411716</v>
      </c>
      <c r="C19" s="8">
        <v>113304</v>
      </c>
      <c r="D19" s="9">
        <v>137610</v>
      </c>
      <c r="E19" s="9">
        <v>62936</v>
      </c>
      <c r="F19" s="9" t="s">
        <v>79</v>
      </c>
    </row>
    <row r="20" spans="1:6">
      <c r="A20" s="9" t="s">
        <v>55</v>
      </c>
      <c r="B20" s="9">
        <f>'2_Collection_Log'!C20</f>
        <v>384086</v>
      </c>
      <c r="C20" s="8">
        <v>70323</v>
      </c>
      <c r="D20" s="9">
        <v>86769</v>
      </c>
      <c r="E20" s="9">
        <v>41200</v>
      </c>
      <c r="F20" s="9" t="s">
        <v>79</v>
      </c>
    </row>
    <row r="21" spans="1:6">
      <c r="A21" s="9" t="s">
        <v>56</v>
      </c>
      <c r="B21" s="9">
        <f>'2_Collection_Log'!C21</f>
        <v>404030</v>
      </c>
      <c r="C21" s="8">
        <v>124676</v>
      </c>
      <c r="D21" s="9">
        <v>191775</v>
      </c>
      <c r="E21" s="9">
        <v>75241</v>
      </c>
      <c r="F21" s="9" t="s">
        <v>79</v>
      </c>
    </row>
    <row r="22" spans="1:6">
      <c r="A22" s="9" t="s">
        <v>57</v>
      </c>
      <c r="B22" s="9">
        <f>'2_Collection_Log'!C22</f>
        <v>609829</v>
      </c>
      <c r="C22" s="8">
        <v>153121</v>
      </c>
      <c r="D22" s="9">
        <v>198723</v>
      </c>
      <c r="E22" s="9">
        <v>108023</v>
      </c>
      <c r="F22" s="9" t="s">
        <v>79</v>
      </c>
    </row>
    <row r="23" spans="1:6">
      <c r="A23" s="9" t="s">
        <v>58</v>
      </c>
      <c r="B23" s="9">
        <f>'2_Collection_Log'!C23</f>
        <v>559618</v>
      </c>
      <c r="C23" s="8">
        <v>118511</v>
      </c>
      <c r="D23" s="9">
        <v>146058</v>
      </c>
      <c r="E23" s="9">
        <v>70150</v>
      </c>
      <c r="F23" s="9" t="s">
        <v>79</v>
      </c>
    </row>
    <row r="24" spans="1:6">
      <c r="A24" s="9" t="s">
        <v>59</v>
      </c>
      <c r="B24" s="9">
        <f>'2_Collection_Log'!C24</f>
        <v>582921</v>
      </c>
      <c r="C24" s="8">
        <v>135397</v>
      </c>
      <c r="D24" s="9">
        <v>166724</v>
      </c>
      <c r="E24" s="9">
        <v>87924</v>
      </c>
      <c r="F24" s="9" t="s">
        <v>79</v>
      </c>
    </row>
    <row r="25" spans="1:6">
      <c r="A25" s="9" t="s">
        <v>60</v>
      </c>
      <c r="B25" s="9">
        <f>'2_Collection_Log'!C25</f>
        <v>350534</v>
      </c>
      <c r="C25" s="8">
        <v>105008</v>
      </c>
      <c r="D25" s="9">
        <v>136479</v>
      </c>
      <c r="E25" s="9">
        <v>61670</v>
      </c>
      <c r="F25" s="9" t="s">
        <v>79</v>
      </c>
    </row>
    <row r="26" spans="1:6">
      <c r="A26" s="9" t="s">
        <v>61</v>
      </c>
      <c r="B26" s="9">
        <f>'2_Collection_Log'!C26</f>
        <v>411353</v>
      </c>
      <c r="C26" s="8">
        <v>131430</v>
      </c>
      <c r="D26" s="9">
        <v>178057</v>
      </c>
      <c r="E26" s="9">
        <v>74318</v>
      </c>
      <c r="F26" s="9" t="s">
        <v>79</v>
      </c>
    </row>
    <row r="27" spans="1:6">
      <c r="A27" s="9" t="s">
        <v>62</v>
      </c>
      <c r="B27" s="9">
        <f>'2_Collection_Log'!C27</f>
        <v>424457</v>
      </c>
      <c r="C27" s="8">
        <v>54935</v>
      </c>
      <c r="D27" s="9">
        <v>63440</v>
      </c>
      <c r="E27" s="9">
        <v>36074</v>
      </c>
      <c r="F27" s="9" t="s">
        <v>79</v>
      </c>
    </row>
    <row r="30" spans="1:6">
      <c r="A30" s="6" t="s">
        <v>63</v>
      </c>
      <c r="B30" s="6">
        <f>SUM(B5:B27)</f>
        <v>17422920</v>
      </c>
      <c r="C30" s="6">
        <f>SUM(C5:C27)</f>
        <v>3585804</v>
      </c>
      <c r="D30" s="6">
        <f>SUM(D5:D27)</f>
        <v>5003944</v>
      </c>
      <c r="E30" s="6">
        <f>SUM(E5:E27)</f>
        <v>2264267</v>
      </c>
      <c r="F30" s="6"/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zoomScaleNormal="100" workbookViewId="0"/>
  </sheetViews>
  <sheetFormatPr defaultColWidth="8.7109375" defaultRowHeight="14.45"/>
  <cols>
    <col min="1" max="1" width="32" customWidth="1"/>
    <col min="2" max="2" width="18" customWidth="1"/>
    <col min="3" max="5" width="20" customWidth="1"/>
    <col min="6" max="6" width="24" customWidth="1"/>
    <col min="7" max="7" width="20" customWidth="1"/>
    <col min="8" max="8" width="45" customWidth="1"/>
  </cols>
  <sheetData>
    <row r="1" spans="1:8" ht="21">
      <c r="A1" s="1" t="s">
        <v>80</v>
      </c>
    </row>
    <row r="2" spans="1:8">
      <c r="A2" s="19" t="s">
        <v>81</v>
      </c>
      <c r="B2" s="19"/>
      <c r="C2" s="19"/>
      <c r="D2" s="19"/>
      <c r="E2" s="19"/>
      <c r="F2" s="19"/>
      <c r="G2" s="19"/>
      <c r="H2" s="19"/>
    </row>
    <row r="4" spans="1:8" ht="27.6">
      <c r="A4" s="4" t="s">
        <v>82</v>
      </c>
      <c r="B4" s="4" t="s">
        <v>83</v>
      </c>
      <c r="C4" s="4" t="s">
        <v>84</v>
      </c>
      <c r="D4" s="4" t="s">
        <v>85</v>
      </c>
      <c r="E4" s="4" t="s">
        <v>86</v>
      </c>
      <c r="F4" s="4" t="s">
        <v>87</v>
      </c>
      <c r="G4" s="4" t="s">
        <v>88</v>
      </c>
      <c r="H4" s="4" t="s">
        <v>71</v>
      </c>
    </row>
    <row r="5" spans="1:8">
      <c r="A5" s="5" t="s">
        <v>89</v>
      </c>
      <c r="B5" s="5" t="s">
        <v>90</v>
      </c>
      <c r="C5" s="10" t="s">
        <v>91</v>
      </c>
      <c r="D5" s="5" t="s">
        <v>92</v>
      </c>
      <c r="E5" s="5" t="s">
        <v>92</v>
      </c>
      <c r="F5" s="5" t="s">
        <v>93</v>
      </c>
      <c r="G5" s="5" t="s">
        <v>94</v>
      </c>
      <c r="H5" s="5" t="s">
        <v>95</v>
      </c>
    </row>
    <row r="6" spans="1:8">
      <c r="A6" s="5" t="s">
        <v>96</v>
      </c>
      <c r="B6" s="5" t="s">
        <v>97</v>
      </c>
      <c r="C6" s="10" t="s">
        <v>91</v>
      </c>
      <c r="D6" s="5" t="s">
        <v>92</v>
      </c>
      <c r="E6" s="5" t="s">
        <v>92</v>
      </c>
      <c r="F6" s="5" t="s">
        <v>93</v>
      </c>
      <c r="G6" s="5" t="s">
        <v>94</v>
      </c>
      <c r="H6" s="5" t="s">
        <v>98</v>
      </c>
    </row>
    <row r="7" spans="1:8">
      <c r="A7" s="5" t="s">
        <v>99</v>
      </c>
      <c r="B7" s="5" t="s">
        <v>100</v>
      </c>
      <c r="C7" s="10" t="s">
        <v>101</v>
      </c>
      <c r="D7" s="5" t="s">
        <v>92</v>
      </c>
      <c r="E7" s="5" t="s">
        <v>92</v>
      </c>
      <c r="F7" s="5" t="s">
        <v>92</v>
      </c>
      <c r="G7" s="5" t="s">
        <v>93</v>
      </c>
      <c r="H7" s="5" t="s">
        <v>102</v>
      </c>
    </row>
    <row r="8" spans="1:8">
      <c r="A8" s="5" t="s">
        <v>103</v>
      </c>
      <c r="B8" s="5" t="s">
        <v>104</v>
      </c>
      <c r="C8" s="10" t="s">
        <v>91</v>
      </c>
      <c r="D8" s="5" t="s">
        <v>92</v>
      </c>
      <c r="E8" s="5" t="s">
        <v>92</v>
      </c>
      <c r="F8" s="5" t="s">
        <v>93</v>
      </c>
      <c r="G8" s="5" t="s">
        <v>94</v>
      </c>
      <c r="H8" s="5" t="s">
        <v>105</v>
      </c>
    </row>
    <row r="9" spans="1:8">
      <c r="A9" s="5" t="s">
        <v>106</v>
      </c>
      <c r="B9" s="5" t="s">
        <v>107</v>
      </c>
      <c r="C9" s="10" t="s">
        <v>108</v>
      </c>
      <c r="D9" s="5" t="s">
        <v>92</v>
      </c>
      <c r="E9" s="5" t="s">
        <v>92</v>
      </c>
      <c r="F9" s="5" t="s">
        <v>92</v>
      </c>
      <c r="G9" s="5" t="s">
        <v>93</v>
      </c>
      <c r="H9" s="5" t="s">
        <v>109</v>
      </c>
    </row>
    <row r="10" spans="1:8">
      <c r="A10" s="5" t="s">
        <v>110</v>
      </c>
      <c r="B10" s="5" t="s">
        <v>111</v>
      </c>
      <c r="C10" s="10" t="s">
        <v>91</v>
      </c>
      <c r="D10" s="5" t="s">
        <v>92</v>
      </c>
      <c r="E10" s="5" t="s">
        <v>93</v>
      </c>
      <c r="F10" s="5" t="s">
        <v>93</v>
      </c>
      <c r="G10" s="5" t="s">
        <v>94</v>
      </c>
      <c r="H10" s="5" t="s">
        <v>112</v>
      </c>
    </row>
    <row r="11" spans="1:8">
      <c r="A11" s="5" t="s">
        <v>113</v>
      </c>
      <c r="B11" s="5" t="s">
        <v>114</v>
      </c>
      <c r="C11" s="10" t="s">
        <v>91</v>
      </c>
      <c r="D11" s="5" t="s">
        <v>92</v>
      </c>
      <c r="E11" s="5" t="s">
        <v>92</v>
      </c>
      <c r="F11" s="5" t="s">
        <v>93</v>
      </c>
      <c r="G11" s="5" t="s">
        <v>94</v>
      </c>
      <c r="H11" s="5" t="s">
        <v>105</v>
      </c>
    </row>
    <row r="12" spans="1:8">
      <c r="A12" s="5" t="s">
        <v>115</v>
      </c>
      <c r="B12" s="5" t="s">
        <v>116</v>
      </c>
      <c r="C12" s="10" t="s">
        <v>108</v>
      </c>
      <c r="D12" s="5" t="s">
        <v>92</v>
      </c>
      <c r="E12" s="5" t="s">
        <v>92</v>
      </c>
      <c r="F12" s="5" t="s">
        <v>92</v>
      </c>
      <c r="G12" s="5" t="s">
        <v>93</v>
      </c>
      <c r="H12" s="5" t="s">
        <v>117</v>
      </c>
    </row>
    <row r="13" spans="1:8">
      <c r="A13" s="5" t="s">
        <v>118</v>
      </c>
      <c r="B13" s="5" t="s">
        <v>119</v>
      </c>
      <c r="C13" s="10" t="s">
        <v>91</v>
      </c>
      <c r="D13" s="5" t="s">
        <v>93</v>
      </c>
      <c r="E13" s="5" t="s">
        <v>93</v>
      </c>
      <c r="F13" s="5" t="s">
        <v>93</v>
      </c>
      <c r="G13" s="5" t="s">
        <v>94</v>
      </c>
      <c r="H13" s="5" t="s">
        <v>120</v>
      </c>
    </row>
    <row r="14" spans="1:8">
      <c r="A14" s="5" t="s">
        <v>121</v>
      </c>
      <c r="B14" s="5" t="s">
        <v>122</v>
      </c>
      <c r="C14" s="10" t="s">
        <v>91</v>
      </c>
      <c r="D14" s="5" t="s">
        <v>92</v>
      </c>
      <c r="E14" s="5" t="s">
        <v>92</v>
      </c>
      <c r="F14" s="5" t="s">
        <v>93</v>
      </c>
      <c r="G14" s="5" t="s">
        <v>94</v>
      </c>
      <c r="H14" s="5" t="s">
        <v>105</v>
      </c>
    </row>
    <row r="15" spans="1:8">
      <c r="A15" s="5" t="s">
        <v>123</v>
      </c>
      <c r="B15" s="5" t="s">
        <v>124</v>
      </c>
      <c r="C15" s="10" t="s">
        <v>101</v>
      </c>
      <c r="D15" s="5" t="s">
        <v>92</v>
      </c>
      <c r="E15" s="5" t="s">
        <v>92</v>
      </c>
      <c r="F15" s="5" t="s">
        <v>92</v>
      </c>
      <c r="G15" s="5" t="s">
        <v>93</v>
      </c>
      <c r="H15" s="5" t="s">
        <v>125</v>
      </c>
    </row>
    <row r="16" spans="1:8">
      <c r="A16" s="5" t="s">
        <v>126</v>
      </c>
      <c r="B16" s="5" t="s">
        <v>127</v>
      </c>
      <c r="C16" s="10" t="s">
        <v>91</v>
      </c>
      <c r="D16" s="5" t="s">
        <v>92</v>
      </c>
      <c r="E16" s="5" t="s">
        <v>92</v>
      </c>
      <c r="F16" s="5" t="s">
        <v>93</v>
      </c>
      <c r="G16" s="5" t="s">
        <v>94</v>
      </c>
      <c r="H16" s="5" t="s">
        <v>128</v>
      </c>
    </row>
    <row r="17" spans="1:8">
      <c r="A17" s="5" t="s">
        <v>129</v>
      </c>
      <c r="B17" s="5" t="s">
        <v>130</v>
      </c>
      <c r="C17" s="10" t="s">
        <v>91</v>
      </c>
      <c r="D17" s="5" t="s">
        <v>92</v>
      </c>
      <c r="E17" s="5" t="s">
        <v>92</v>
      </c>
      <c r="F17" s="5" t="s">
        <v>93</v>
      </c>
      <c r="G17" s="5" t="s">
        <v>94</v>
      </c>
      <c r="H17" s="5" t="s">
        <v>105</v>
      </c>
    </row>
    <row r="18" spans="1:8">
      <c r="A18" s="5" t="s">
        <v>131</v>
      </c>
      <c r="B18" s="5" t="s">
        <v>132</v>
      </c>
      <c r="C18" s="10" t="s">
        <v>108</v>
      </c>
      <c r="D18" s="5" t="s">
        <v>92</v>
      </c>
      <c r="E18" s="5" t="s">
        <v>93</v>
      </c>
      <c r="F18" s="5" t="s">
        <v>92</v>
      </c>
      <c r="G18" s="5" t="s">
        <v>93</v>
      </c>
      <c r="H18" s="5" t="s">
        <v>133</v>
      </c>
    </row>
    <row r="19" spans="1:8">
      <c r="A19" s="5" t="s">
        <v>134</v>
      </c>
      <c r="B19" s="5" t="s">
        <v>135</v>
      </c>
      <c r="C19" s="10" t="s">
        <v>91</v>
      </c>
      <c r="D19" s="5" t="s">
        <v>92</v>
      </c>
      <c r="E19" s="5" t="s">
        <v>92</v>
      </c>
      <c r="F19" s="5" t="s">
        <v>93</v>
      </c>
      <c r="G19" s="5" t="s">
        <v>94</v>
      </c>
      <c r="H19" s="5" t="s">
        <v>105</v>
      </c>
    </row>
    <row r="22" spans="1:8">
      <c r="A22" s="11" t="s">
        <v>91</v>
      </c>
      <c r="B22" s="11">
        <f>COUNTIF(C5:C19,"Compliant")</f>
        <v>10</v>
      </c>
    </row>
    <row r="23" spans="1:8">
      <c r="A23" s="11" t="s">
        <v>136</v>
      </c>
      <c r="B23" s="11">
        <f>COUNTA(A5:A19)</f>
        <v>15</v>
      </c>
    </row>
    <row r="24" spans="1:8">
      <c r="A24" s="11" t="s">
        <v>137</v>
      </c>
      <c r="B24" s="11">
        <f>COUNTIF(D5:D19,"Yes")</f>
        <v>14</v>
      </c>
    </row>
    <row r="25" spans="1:8">
      <c r="A25" s="11" t="s">
        <v>138</v>
      </c>
      <c r="B25" s="11">
        <f>COUNTIF(E5:E19,"Yes")</f>
        <v>12</v>
      </c>
    </row>
    <row r="26" spans="1:8">
      <c r="A26" s="11" t="s">
        <v>139</v>
      </c>
      <c r="B26" s="11">
        <f>COUNTIF(F5:F19,"Yes")</f>
        <v>5</v>
      </c>
    </row>
    <row r="27" spans="1:8">
      <c r="A27" s="11" t="s">
        <v>140</v>
      </c>
      <c r="B27" s="11">
        <f>COUNTIF(G5:G19,"Yes")</f>
        <v>0</v>
      </c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zoomScaleNormal="100" workbookViewId="0"/>
  </sheetViews>
  <sheetFormatPr defaultColWidth="8.7109375" defaultRowHeight="14.45"/>
  <cols>
    <col min="1" max="1" width="32" customWidth="1"/>
    <col min="2" max="2" width="16" customWidth="1"/>
    <col min="3" max="3" width="20" customWidth="1"/>
    <col min="4" max="4" width="22" customWidth="1"/>
    <col min="5" max="5" width="24" customWidth="1"/>
    <col min="6" max="6" width="40" customWidth="1"/>
    <col min="7" max="7" width="30" customWidth="1"/>
  </cols>
  <sheetData>
    <row r="1" spans="1:7" ht="21">
      <c r="A1" s="1" t="s">
        <v>141</v>
      </c>
    </row>
    <row r="2" spans="1:7">
      <c r="A2" s="19" t="s">
        <v>142</v>
      </c>
      <c r="B2" s="19"/>
      <c r="C2" s="19"/>
      <c r="D2" s="19"/>
      <c r="E2" s="19"/>
      <c r="F2" s="19"/>
      <c r="G2" s="19"/>
    </row>
    <row r="4" spans="1:7" ht="27.6">
      <c r="A4" s="4" t="s">
        <v>143</v>
      </c>
      <c r="B4" s="4" t="s">
        <v>29</v>
      </c>
      <c r="C4" s="4" t="s">
        <v>144</v>
      </c>
      <c r="D4" s="4" t="s">
        <v>145</v>
      </c>
      <c r="E4" s="4" t="s">
        <v>146</v>
      </c>
      <c r="F4" s="4" t="s">
        <v>147</v>
      </c>
      <c r="G4" s="4" t="s">
        <v>71</v>
      </c>
    </row>
    <row r="5" spans="1:7">
      <c r="A5" s="5" t="s">
        <v>148</v>
      </c>
      <c r="B5" s="5" t="s">
        <v>39</v>
      </c>
      <c r="C5" s="10" t="s">
        <v>149</v>
      </c>
      <c r="D5" s="5">
        <v>210</v>
      </c>
      <c r="E5" s="5">
        <v>65</v>
      </c>
      <c r="F5" s="5" t="s">
        <v>150</v>
      </c>
      <c r="G5" s="5" t="s">
        <v>151</v>
      </c>
    </row>
    <row r="6" spans="1:7">
      <c r="A6" s="5" t="s">
        <v>152</v>
      </c>
      <c r="B6" s="5" t="s">
        <v>41</v>
      </c>
      <c r="C6" s="10" t="s">
        <v>153</v>
      </c>
      <c r="D6" s="5">
        <v>140</v>
      </c>
      <c r="E6" s="5">
        <v>10</v>
      </c>
      <c r="F6" s="5" t="s">
        <v>154</v>
      </c>
      <c r="G6" s="5" t="s">
        <v>155</v>
      </c>
    </row>
    <row r="7" spans="1:7">
      <c r="A7" s="5" t="s">
        <v>156</v>
      </c>
      <c r="B7" s="5" t="s">
        <v>43</v>
      </c>
      <c r="C7" s="10" t="s">
        <v>149</v>
      </c>
      <c r="D7" s="5">
        <v>160</v>
      </c>
      <c r="E7" s="5">
        <v>45</v>
      </c>
      <c r="F7" s="5" t="s">
        <v>157</v>
      </c>
      <c r="G7" s="5" t="s">
        <v>158</v>
      </c>
    </row>
    <row r="8" spans="1:7">
      <c r="A8" s="5" t="s">
        <v>159</v>
      </c>
      <c r="B8" s="5" t="s">
        <v>47</v>
      </c>
      <c r="C8" s="10" t="s">
        <v>153</v>
      </c>
      <c r="D8" s="5">
        <v>90</v>
      </c>
      <c r="E8" s="5">
        <v>0</v>
      </c>
      <c r="F8" s="5" t="s">
        <v>160</v>
      </c>
      <c r="G8" s="5" t="s">
        <v>161</v>
      </c>
    </row>
    <row r="9" spans="1:7">
      <c r="A9" s="5" t="s">
        <v>162</v>
      </c>
      <c r="B9" s="5" t="s">
        <v>45</v>
      </c>
      <c r="C9" s="10" t="s">
        <v>153</v>
      </c>
      <c r="D9" s="5">
        <v>75</v>
      </c>
      <c r="E9" s="5">
        <v>8</v>
      </c>
      <c r="F9" s="5" t="s">
        <v>163</v>
      </c>
      <c r="G9" s="5" t="s">
        <v>155</v>
      </c>
    </row>
    <row r="10" spans="1:7">
      <c r="A10" s="5" t="s">
        <v>164</v>
      </c>
      <c r="B10" s="5" t="s">
        <v>50</v>
      </c>
      <c r="C10" s="10" t="s">
        <v>149</v>
      </c>
      <c r="D10" s="5">
        <v>100</v>
      </c>
      <c r="E10" s="5">
        <v>30</v>
      </c>
      <c r="F10" s="5" t="s">
        <v>165</v>
      </c>
      <c r="G10" s="5" t="s">
        <v>151</v>
      </c>
    </row>
    <row r="11" spans="1:7">
      <c r="A11" s="5" t="s">
        <v>166</v>
      </c>
      <c r="B11" s="5" t="s">
        <v>44</v>
      </c>
      <c r="C11" s="10" t="s">
        <v>167</v>
      </c>
      <c r="D11" s="5">
        <v>55</v>
      </c>
      <c r="E11" s="5">
        <v>55</v>
      </c>
      <c r="F11" s="5" t="s">
        <v>168</v>
      </c>
      <c r="G11" s="5" t="s">
        <v>169</v>
      </c>
    </row>
    <row r="12" spans="1:7">
      <c r="A12" s="5" t="s">
        <v>170</v>
      </c>
      <c r="B12" s="5" t="s">
        <v>48</v>
      </c>
      <c r="C12" s="10" t="s">
        <v>153</v>
      </c>
      <c r="D12" s="5">
        <v>85</v>
      </c>
      <c r="E12" s="5">
        <v>5</v>
      </c>
      <c r="F12" s="5" t="s">
        <v>171</v>
      </c>
      <c r="G12" s="5" t="s">
        <v>155</v>
      </c>
    </row>
    <row r="15" spans="1:7">
      <c r="A15" s="11" t="s">
        <v>172</v>
      </c>
      <c r="B15" s="11">
        <f>COUNTA(A5:A12)</f>
        <v>8</v>
      </c>
    </row>
    <row r="16" spans="1:7">
      <c r="A16" s="11" t="s">
        <v>173</v>
      </c>
      <c r="B16" s="11">
        <f>COUNTIF(C5:C12,"Formalized")</f>
        <v>1</v>
      </c>
    </row>
    <row r="17" spans="1:2">
      <c r="A17" s="11" t="s">
        <v>174</v>
      </c>
      <c r="B17" s="11">
        <f>SUM(D5:D12)</f>
        <v>915</v>
      </c>
    </row>
    <row r="18" spans="1:2">
      <c r="A18" s="11" t="s">
        <v>175</v>
      </c>
      <c r="B18" s="11">
        <f>SUM(E5:E12)</f>
        <v>218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zoomScaleNormal="100" workbookViewId="0"/>
  </sheetViews>
  <sheetFormatPr defaultColWidth="8.7109375" defaultRowHeight="14.45"/>
  <cols>
    <col min="1" max="1" width="32" customWidth="1"/>
    <col min="2" max="3" width="16" customWidth="1"/>
    <col min="4" max="4" width="14" customWidth="1"/>
    <col min="5" max="5" width="26" customWidth="1"/>
    <col min="6" max="6" width="22" customWidth="1"/>
    <col min="7" max="7" width="20" customWidth="1"/>
    <col min="8" max="8" width="40" customWidth="1"/>
  </cols>
  <sheetData>
    <row r="1" spans="1:8" ht="21">
      <c r="A1" s="1" t="s">
        <v>176</v>
      </c>
    </row>
    <row r="2" spans="1:8">
      <c r="A2" s="19" t="s">
        <v>177</v>
      </c>
      <c r="B2" s="19"/>
      <c r="C2" s="19"/>
      <c r="D2" s="19"/>
      <c r="E2" s="19"/>
      <c r="F2" s="19"/>
      <c r="G2" s="19"/>
      <c r="H2" s="19"/>
    </row>
    <row r="4" spans="1:8" ht="27.6">
      <c r="A4" s="4" t="s">
        <v>178</v>
      </c>
      <c r="B4" s="4" t="s">
        <v>29</v>
      </c>
      <c r="C4" s="4" t="s">
        <v>179</v>
      </c>
      <c r="D4" s="4" t="s">
        <v>180</v>
      </c>
      <c r="E4" s="4" t="s">
        <v>181</v>
      </c>
      <c r="F4" s="4" t="s">
        <v>182</v>
      </c>
      <c r="G4" s="4" t="s">
        <v>183</v>
      </c>
      <c r="H4" s="4" t="s">
        <v>71</v>
      </c>
    </row>
    <row r="5" spans="1:8">
      <c r="A5" s="5" t="s">
        <v>148</v>
      </c>
      <c r="B5" s="5" t="s">
        <v>39</v>
      </c>
      <c r="C5" s="5" t="s">
        <v>184</v>
      </c>
      <c r="D5" s="5" t="s">
        <v>185</v>
      </c>
      <c r="E5" s="5" t="s">
        <v>186</v>
      </c>
      <c r="F5" s="10" t="s">
        <v>92</v>
      </c>
      <c r="G5" s="5">
        <v>240</v>
      </c>
      <c r="H5" s="5" t="s">
        <v>187</v>
      </c>
    </row>
    <row r="6" spans="1:8">
      <c r="A6" s="5" t="s">
        <v>152</v>
      </c>
      <c r="B6" s="5" t="s">
        <v>41</v>
      </c>
      <c r="C6" s="5" t="s">
        <v>188</v>
      </c>
      <c r="D6" s="5" t="s">
        <v>189</v>
      </c>
      <c r="E6" s="5" t="s">
        <v>190</v>
      </c>
      <c r="F6" s="10" t="s">
        <v>93</v>
      </c>
      <c r="G6" s="5">
        <v>0</v>
      </c>
      <c r="H6" s="5" t="s">
        <v>191</v>
      </c>
    </row>
    <row r="7" spans="1:8">
      <c r="A7" s="5" t="s">
        <v>156</v>
      </c>
      <c r="B7" s="5" t="s">
        <v>43</v>
      </c>
      <c r="C7" s="5" t="s">
        <v>192</v>
      </c>
      <c r="D7" s="5" t="s">
        <v>193</v>
      </c>
      <c r="E7" s="5" t="s">
        <v>194</v>
      </c>
      <c r="F7" s="10" t="s">
        <v>92</v>
      </c>
      <c r="G7" s="5">
        <v>160</v>
      </c>
      <c r="H7" s="5" t="s">
        <v>195</v>
      </c>
    </row>
    <row r="8" spans="1:8">
      <c r="A8" s="5" t="s">
        <v>159</v>
      </c>
      <c r="B8" s="5" t="s">
        <v>47</v>
      </c>
      <c r="C8" s="5" t="s">
        <v>184</v>
      </c>
      <c r="D8" s="5" t="s">
        <v>196</v>
      </c>
      <c r="E8" s="5" t="s">
        <v>197</v>
      </c>
      <c r="F8" s="10" t="s">
        <v>93</v>
      </c>
      <c r="G8" s="5">
        <v>0</v>
      </c>
      <c r="H8" s="5" t="s">
        <v>198</v>
      </c>
    </row>
    <row r="9" spans="1:8">
      <c r="A9" s="5" t="s">
        <v>162</v>
      </c>
      <c r="B9" s="5" t="s">
        <v>45</v>
      </c>
      <c r="C9" s="5" t="s">
        <v>199</v>
      </c>
      <c r="D9" s="5" t="s">
        <v>200</v>
      </c>
      <c r="E9" s="5" t="s">
        <v>201</v>
      </c>
      <c r="F9" s="10" t="s">
        <v>92</v>
      </c>
      <c r="G9" s="5">
        <v>130</v>
      </c>
      <c r="H9" s="5" t="s">
        <v>202</v>
      </c>
    </row>
    <row r="10" spans="1:8">
      <c r="A10" s="5" t="s">
        <v>164</v>
      </c>
      <c r="B10" s="5" t="s">
        <v>50</v>
      </c>
      <c r="C10" s="5" t="s">
        <v>188</v>
      </c>
      <c r="D10" s="5" t="s">
        <v>203</v>
      </c>
      <c r="E10" s="5" t="s">
        <v>194</v>
      </c>
      <c r="F10" s="10" t="s">
        <v>92</v>
      </c>
      <c r="G10" s="5">
        <v>110</v>
      </c>
      <c r="H10" s="5" t="s">
        <v>195</v>
      </c>
    </row>
    <row r="11" spans="1:8">
      <c r="A11" s="5" t="s">
        <v>166</v>
      </c>
      <c r="B11" s="5" t="s">
        <v>44</v>
      </c>
      <c r="C11" s="5" t="s">
        <v>184</v>
      </c>
      <c r="D11" s="5" t="s">
        <v>204</v>
      </c>
      <c r="E11" s="5" t="s">
        <v>194</v>
      </c>
      <c r="F11" s="10" t="s">
        <v>92</v>
      </c>
      <c r="G11" s="5">
        <v>90</v>
      </c>
      <c r="H11" s="5" t="s">
        <v>205</v>
      </c>
    </row>
    <row r="12" spans="1:8">
      <c r="A12" s="5" t="s">
        <v>170</v>
      </c>
      <c r="B12" s="5" t="s">
        <v>48</v>
      </c>
      <c r="C12" s="5" t="s">
        <v>192</v>
      </c>
      <c r="D12" s="5" t="s">
        <v>206</v>
      </c>
      <c r="E12" s="5" t="s">
        <v>207</v>
      </c>
      <c r="F12" s="10" t="s">
        <v>93</v>
      </c>
      <c r="G12" s="5">
        <v>0</v>
      </c>
      <c r="H12" s="5" t="s">
        <v>191</v>
      </c>
    </row>
    <row r="15" spans="1:8">
      <c r="A15" s="11" t="s">
        <v>208</v>
      </c>
      <c r="B15" s="11">
        <f>COUNTA(A5:A12)</f>
        <v>8</v>
      </c>
    </row>
    <row r="16" spans="1:8">
      <c r="A16" s="11" t="s">
        <v>209</v>
      </c>
      <c r="B16" s="11">
        <f>COUNTIF(F5:F12,"Yes")</f>
        <v>5</v>
      </c>
    </row>
    <row r="17" spans="1:2">
      <c r="A17" s="11" t="s">
        <v>210</v>
      </c>
      <c r="B17" s="11">
        <f>SUM(G5:G12)</f>
        <v>730</v>
      </c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zoomScaleNormal="100" workbookViewId="0"/>
  </sheetViews>
  <sheetFormatPr defaultColWidth="8.7109375" defaultRowHeight="14.45"/>
  <cols>
    <col min="1" max="1" width="36" customWidth="1"/>
    <col min="2" max="2" width="26" customWidth="1"/>
    <col min="3" max="3" width="14" customWidth="1"/>
    <col min="4" max="5" width="30" customWidth="1"/>
    <col min="6" max="6" width="18" customWidth="1"/>
  </cols>
  <sheetData>
    <row r="1" spans="1:6" ht="21">
      <c r="A1" s="1" t="s">
        <v>211</v>
      </c>
    </row>
    <row r="2" spans="1:6">
      <c r="A2" s="19" t="s">
        <v>212</v>
      </c>
      <c r="B2" s="19"/>
      <c r="C2" s="19"/>
      <c r="D2" s="19"/>
      <c r="E2" s="19"/>
      <c r="F2" s="19"/>
    </row>
    <row r="4" spans="1:6">
      <c r="A4" s="4" t="s">
        <v>213</v>
      </c>
      <c r="B4" s="4" t="s">
        <v>29</v>
      </c>
      <c r="C4" s="4" t="s">
        <v>180</v>
      </c>
      <c r="D4" s="4" t="s">
        <v>214</v>
      </c>
      <c r="E4" s="4" t="s">
        <v>215</v>
      </c>
      <c r="F4" s="4" t="s">
        <v>216</v>
      </c>
    </row>
    <row r="5" spans="1:6">
      <c r="A5" s="5" t="s">
        <v>217</v>
      </c>
      <c r="B5" s="5" t="s">
        <v>218</v>
      </c>
      <c r="C5" s="5" t="s">
        <v>219</v>
      </c>
      <c r="D5" s="5" t="s">
        <v>220</v>
      </c>
      <c r="E5" s="5" t="s">
        <v>221</v>
      </c>
      <c r="F5" s="5">
        <v>4200</v>
      </c>
    </row>
    <row r="6" spans="1:6">
      <c r="A6" s="5" t="s">
        <v>222</v>
      </c>
      <c r="B6" s="5" t="s">
        <v>41</v>
      </c>
      <c r="C6" s="5" t="s">
        <v>223</v>
      </c>
      <c r="D6" s="5" t="s">
        <v>224</v>
      </c>
      <c r="E6" s="5" t="s">
        <v>225</v>
      </c>
      <c r="F6" s="5">
        <v>950</v>
      </c>
    </row>
    <row r="7" spans="1:6">
      <c r="A7" s="5" t="s">
        <v>226</v>
      </c>
      <c r="B7" s="5" t="s">
        <v>43</v>
      </c>
      <c r="C7" s="5" t="s">
        <v>227</v>
      </c>
      <c r="D7" s="5" t="s">
        <v>228</v>
      </c>
      <c r="E7" s="5" t="s">
        <v>229</v>
      </c>
      <c r="F7" s="5">
        <v>600</v>
      </c>
    </row>
    <row r="8" spans="1:6">
      <c r="A8" s="5" t="s">
        <v>230</v>
      </c>
      <c r="B8" s="5" t="s">
        <v>39</v>
      </c>
      <c r="C8" s="5" t="s">
        <v>231</v>
      </c>
      <c r="D8" s="5" t="s">
        <v>232</v>
      </c>
      <c r="E8" s="5" t="s">
        <v>233</v>
      </c>
      <c r="F8" s="5">
        <v>1100</v>
      </c>
    </row>
    <row r="9" spans="1:6">
      <c r="A9" s="5" t="s">
        <v>234</v>
      </c>
      <c r="B9" s="5" t="s">
        <v>44</v>
      </c>
      <c r="C9" s="5" t="s">
        <v>235</v>
      </c>
      <c r="D9" s="5" t="s">
        <v>224</v>
      </c>
      <c r="E9" s="5" t="s">
        <v>236</v>
      </c>
      <c r="F9" s="5">
        <v>480</v>
      </c>
    </row>
    <row r="10" spans="1:6">
      <c r="A10" s="5" t="s">
        <v>237</v>
      </c>
      <c r="B10" s="5" t="s">
        <v>50</v>
      </c>
      <c r="C10" s="5" t="s">
        <v>238</v>
      </c>
      <c r="D10" s="5" t="s">
        <v>232</v>
      </c>
      <c r="E10" s="5" t="s">
        <v>239</v>
      </c>
      <c r="F10" s="5">
        <v>700</v>
      </c>
    </row>
    <row r="11" spans="1:6">
      <c r="A11" s="5" t="s">
        <v>240</v>
      </c>
      <c r="B11" s="5" t="s">
        <v>241</v>
      </c>
      <c r="C11" s="5" t="s">
        <v>242</v>
      </c>
      <c r="D11" s="5" t="s">
        <v>243</v>
      </c>
      <c r="E11" s="5" t="s">
        <v>244</v>
      </c>
      <c r="F11" s="5">
        <v>150</v>
      </c>
    </row>
    <row r="12" spans="1:6">
      <c r="A12" s="5" t="s">
        <v>245</v>
      </c>
      <c r="B12" s="5" t="s">
        <v>48</v>
      </c>
      <c r="C12" s="5" t="s">
        <v>246</v>
      </c>
      <c r="D12" s="5" t="s">
        <v>228</v>
      </c>
      <c r="E12" s="5" t="s">
        <v>247</v>
      </c>
      <c r="F12" s="5">
        <v>380</v>
      </c>
    </row>
    <row r="15" spans="1:6">
      <c r="A15" s="11" t="s">
        <v>248</v>
      </c>
      <c r="B15" s="11">
        <f>COUNTA(A5:A12)</f>
        <v>8</v>
      </c>
    </row>
    <row r="16" spans="1:6">
      <c r="A16" s="11" t="s">
        <v>249</v>
      </c>
      <c r="B16" s="11">
        <f>COUNTIF(D5:D12,"School Collection Drive")+COUNTIF(D5:D12,"RWA/Community Drive")</f>
        <v>4</v>
      </c>
    </row>
    <row r="17" spans="1:2">
      <c r="A17" s="11" t="s">
        <v>250</v>
      </c>
      <c r="B17" s="11">
        <f>SUM(F5:F12)</f>
        <v>8560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2"/>
  <sheetViews>
    <sheetView zoomScaleNormal="100" workbookViewId="0"/>
  </sheetViews>
  <sheetFormatPr defaultColWidth="8.7109375" defaultRowHeight="14.45"/>
  <cols>
    <col min="1" max="1" width="5" customWidth="1"/>
    <col min="2" max="2" width="32" customWidth="1"/>
    <col min="3" max="3" width="9" customWidth="1"/>
    <col min="4" max="4" width="70" customWidth="1"/>
  </cols>
  <sheetData>
    <row r="1" spans="1:4" ht="21">
      <c r="A1" s="21" t="s">
        <v>251</v>
      </c>
      <c r="B1" s="21"/>
      <c r="C1" s="21"/>
      <c r="D1" s="21"/>
    </row>
    <row r="3" spans="1:4" ht="39.75" customHeight="1">
      <c r="A3" s="16" t="s">
        <v>252</v>
      </c>
      <c r="B3" s="16"/>
      <c r="C3" s="16"/>
      <c r="D3" s="16"/>
    </row>
    <row r="5" spans="1:4">
      <c r="A5" s="4" t="s">
        <v>3</v>
      </c>
      <c r="B5" s="4" t="s">
        <v>4</v>
      </c>
      <c r="C5" s="4" t="s">
        <v>5</v>
      </c>
      <c r="D5" s="4" t="s">
        <v>253</v>
      </c>
    </row>
    <row r="6" spans="1:4">
      <c r="A6" s="5">
        <v>1</v>
      </c>
      <c r="B6" s="5" t="s">
        <v>10</v>
      </c>
      <c r="C6" s="5">
        <v>15</v>
      </c>
      <c r="D6" s="12" t="s">
        <v>254</v>
      </c>
    </row>
    <row r="7" spans="1:4">
      <c r="A7" s="5">
        <v>2</v>
      </c>
      <c r="B7" s="5" t="s">
        <v>11</v>
      </c>
      <c r="C7" s="5">
        <v>20</v>
      </c>
      <c r="D7" s="12" t="s">
        <v>255</v>
      </c>
    </row>
    <row r="8" spans="1:4" ht="27.6">
      <c r="A8" s="5">
        <v>3</v>
      </c>
      <c r="B8" s="5" t="s">
        <v>12</v>
      </c>
      <c r="C8" s="5">
        <v>20</v>
      </c>
      <c r="D8" s="12" t="s">
        <v>256</v>
      </c>
    </row>
    <row r="9" spans="1:4">
      <c r="A9" s="5">
        <v>4</v>
      </c>
      <c r="B9" s="5" t="s">
        <v>13</v>
      </c>
      <c r="C9" s="5">
        <v>15</v>
      </c>
      <c r="D9" s="12" t="s">
        <v>257</v>
      </c>
    </row>
    <row r="10" spans="1:4">
      <c r="A10" s="5">
        <v>5</v>
      </c>
      <c r="B10" s="5" t="s">
        <v>14</v>
      </c>
      <c r="C10" s="5">
        <v>10</v>
      </c>
      <c r="D10" s="12" t="s">
        <v>258</v>
      </c>
    </row>
    <row r="11" spans="1:4" ht="27.6">
      <c r="A11" s="5">
        <v>6</v>
      </c>
      <c r="B11" s="5" t="s">
        <v>15</v>
      </c>
      <c r="C11" s="5">
        <v>10</v>
      </c>
      <c r="D11" s="12" t="s">
        <v>259</v>
      </c>
    </row>
    <row r="12" spans="1:4" ht="27.6">
      <c r="A12" s="5">
        <v>7</v>
      </c>
      <c r="B12" s="5" t="s">
        <v>16</v>
      </c>
      <c r="C12" s="5">
        <v>10</v>
      </c>
      <c r="D12" s="12" t="s">
        <v>260</v>
      </c>
    </row>
    <row r="13" spans="1:4">
      <c r="B13" s="7" t="s">
        <v>261</v>
      </c>
      <c r="C13" s="7">
        <v>100</v>
      </c>
    </row>
    <row r="16" spans="1:4">
      <c r="A16" s="7" t="s">
        <v>262</v>
      </c>
    </row>
    <row r="17" spans="1:4" ht="23.85" customHeight="1">
      <c r="A17" s="17" t="s">
        <v>263</v>
      </c>
      <c r="B17" s="17"/>
      <c r="C17" s="17"/>
      <c r="D17" s="17"/>
    </row>
    <row r="18" spans="1:4" ht="23.85" customHeight="1">
      <c r="A18" s="17" t="s">
        <v>264</v>
      </c>
      <c r="B18" s="17"/>
      <c r="C18" s="17"/>
      <c r="D18" s="17"/>
    </row>
    <row r="19" spans="1:4" ht="23.85" customHeight="1">
      <c r="A19" s="17" t="s">
        <v>265</v>
      </c>
      <c r="B19" s="17"/>
      <c r="C19" s="17"/>
      <c r="D19" s="17"/>
    </row>
    <row r="20" spans="1:4" ht="15" customHeight="1">
      <c r="A20" s="17" t="s">
        <v>266</v>
      </c>
      <c r="B20" s="17"/>
      <c r="C20" s="17"/>
      <c r="D20" s="17"/>
    </row>
    <row r="21" spans="1:4" ht="15" customHeight="1">
      <c r="A21" s="17" t="s">
        <v>267</v>
      </c>
      <c r="B21" s="17"/>
      <c r="C21" s="17"/>
      <c r="D21" s="17"/>
    </row>
    <row r="22" spans="1:4" ht="35.1" customHeight="1">
      <c r="A22" s="17" t="s">
        <v>268</v>
      </c>
      <c r="B22" s="17"/>
      <c r="C22" s="17"/>
      <c r="D22" s="17"/>
    </row>
  </sheetData>
  <mergeCells count="8">
    <mergeCell ref="A20:D20"/>
    <mergeCell ref="A21:D21"/>
    <mergeCell ref="A22:D22"/>
    <mergeCell ref="A1:D1"/>
    <mergeCell ref="A3:D3"/>
    <mergeCell ref="A17:D17"/>
    <mergeCell ref="A18:D18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1D2B05-E66B-4776-A3A1-C0736AC251DD}"/>
</file>

<file path=customXml/itemProps2.xml><?xml version="1.0" encoding="utf-8"?>
<ds:datastoreItem xmlns:ds="http://schemas.openxmlformats.org/officeDocument/2006/customXml" ds:itemID="{72E5323C-5C03-4726-948B-9572444C3F07}"/>
</file>

<file path=customXml/itemProps3.xml><?xml version="1.0" encoding="utf-8"?>
<ds:datastoreItem xmlns:ds="http://schemas.openxmlformats.org/officeDocument/2006/customXml" ds:itemID="{7D1C13A6-7931-4117-9AB5-D16245FD95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Mrudula Sakpal</cp:lastModifiedBy>
  <cp:revision>0</cp:revision>
  <dcterms:created xsi:type="dcterms:W3CDTF">2026-07-24T04:33:59Z</dcterms:created>
  <dcterms:modified xsi:type="dcterms:W3CDTF">2026-07-29T18:03:43Z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  <property fmtid="{D5CDD505-2E9C-101B-9397-08002B2CF9AE}" pid="3" name="MediaServiceImageTags">
    <vt:lpwstr/>
  </property>
</Properties>
</file>